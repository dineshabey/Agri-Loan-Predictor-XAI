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cuments\MSC-AI\Sem - 2\IT5514 - Applied Machine Learning\Final Assingmet\"/>
    </mc:Choice>
  </mc:AlternateContent>
  <xr:revisionPtr revIDLastSave="0" documentId="13_ncr:1_{20EA5ECE-67A2-40A5-B14B-42660BDC0C65}" xr6:coauthVersionLast="47" xr6:coauthVersionMax="47" xr10:uidLastSave="{00000000-0000-0000-0000-000000000000}"/>
  <bookViews>
    <workbookView xWindow="24480" yWindow="1224" windowWidth="21600" windowHeight="11160" xr2:uid="{00000000-000D-0000-FFFF-FFFF00000000}"/>
  </bookViews>
  <sheets>
    <sheet name="කෘෂි ණය" sheetId="1" r:id="rId1"/>
  </sheets>
  <definedNames>
    <definedName name="_xlnm._FilterDatabase" localSheetId="0" hidden="1">'කෘෂි ණය'!$A$4:$U$301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01" i="1" l="1"/>
  <c r="J301" i="1"/>
  <c r="K301" i="1"/>
  <c r="L301" i="1"/>
  <c r="M301" i="1"/>
  <c r="H301" i="1"/>
  <c r="U12" i="1"/>
  <c r="U11" i="1"/>
  <c r="U13" i="1"/>
  <c r="U141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133" i="1"/>
  <c r="U134" i="1"/>
  <c r="U135" i="1"/>
  <c r="U136" i="1"/>
  <c r="U137" i="1"/>
  <c r="U138" i="1"/>
  <c r="U139" i="1"/>
  <c r="U140" i="1"/>
  <c r="U142" i="1"/>
  <c r="U72" i="1"/>
  <c r="U71" i="1"/>
  <c r="U68" i="1"/>
  <c r="U67" i="1"/>
  <c r="U143" i="1"/>
  <c r="U144" i="1"/>
  <c r="U131" i="1"/>
  <c r="U132" i="1"/>
  <c r="U130" i="1"/>
  <c r="U119" i="1"/>
  <c r="U118" i="1"/>
  <c r="U116" i="1"/>
  <c r="U115" i="1"/>
  <c r="U114" i="1"/>
  <c r="U113" i="1"/>
  <c r="U109" i="1"/>
  <c r="U108" i="1"/>
  <c r="U107" i="1"/>
  <c r="U98" i="1"/>
  <c r="U97" i="1"/>
  <c r="U96" i="1"/>
  <c r="U95" i="1"/>
  <c r="U94" i="1"/>
  <c r="U93" i="1"/>
  <c r="U100" i="1"/>
  <c r="U99" i="1"/>
  <c r="U92" i="1"/>
  <c r="U91" i="1"/>
  <c r="U80" i="1"/>
  <c r="U76" i="1"/>
  <c r="U75" i="1"/>
  <c r="U74" i="1"/>
  <c r="U6" i="1"/>
  <c r="U7" i="1"/>
  <c r="U8" i="1"/>
  <c r="U9" i="1"/>
  <c r="U10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9" i="1"/>
  <c r="U70" i="1"/>
  <c r="U73" i="1"/>
  <c r="U77" i="1"/>
  <c r="U78" i="1"/>
  <c r="U79" i="1"/>
  <c r="U81" i="1"/>
  <c r="U82" i="1"/>
  <c r="U83" i="1"/>
  <c r="U84" i="1"/>
  <c r="U85" i="1"/>
  <c r="U86" i="1"/>
  <c r="U87" i="1"/>
  <c r="U88" i="1"/>
  <c r="U89" i="1"/>
  <c r="U90" i="1"/>
  <c r="U101" i="1"/>
  <c r="U102" i="1"/>
  <c r="U103" i="1"/>
  <c r="U104" i="1"/>
  <c r="U105" i="1"/>
  <c r="U106" i="1"/>
  <c r="U110" i="1"/>
  <c r="U111" i="1"/>
  <c r="U112" i="1"/>
  <c r="U117" i="1"/>
  <c r="U120" i="1"/>
  <c r="U121" i="1"/>
  <c r="U122" i="1"/>
  <c r="U123" i="1"/>
  <c r="U124" i="1"/>
  <c r="U125" i="1"/>
  <c r="U126" i="1"/>
  <c r="U127" i="1"/>
  <c r="U128" i="1"/>
  <c r="U129" i="1"/>
  <c r="U5" i="1"/>
  <c r="N301" i="1" l="1"/>
  <c r="O301" i="1"/>
  <c r="P301" i="1"/>
  <c r="Q301" i="1"/>
  <c r="R301" i="1"/>
  <c r="S301" i="1"/>
  <c r="T301" i="1"/>
  <c r="U301" i="1" l="1"/>
</calcChain>
</file>

<file path=xl/sharedStrings.xml><?xml version="1.0" encoding="utf-8"?>
<sst xmlns="http://schemas.openxmlformats.org/spreadsheetml/2006/main" count="2094" uniqueCount="638">
  <si>
    <t>නම</t>
  </si>
  <si>
    <t>කොට්ඨාසය</t>
  </si>
  <si>
    <t>එල්. ඩබ්. ජී. සිරිපාල</t>
  </si>
  <si>
    <t xml:space="preserve">ආර්. එම්. ප්‍රියන්ත කුමාර </t>
  </si>
  <si>
    <t>පී. ඩී. සුසිල් ප්‍රසන්න</t>
  </si>
  <si>
    <t>එල්. ඩබ්. ජී. හේමචන්ද්‍ර</t>
  </si>
  <si>
    <t>ආර්. පී. ඩී. කේ. වික්‍රමපාල</t>
  </si>
  <si>
    <t>ඩබ්. එම්. මධුෂිකා ස්වර්ණසිරි</t>
  </si>
  <si>
    <t>එම්. පී. ඉන්ද්‍රානි</t>
  </si>
  <si>
    <t>ඒ. එච්. එම්. කරුණාරත්න</t>
  </si>
  <si>
    <t>ආර්. එම්. ගාමිණි</t>
  </si>
  <si>
    <t>එල්. පී. ජී. සුනේත්‍රා</t>
  </si>
  <si>
    <t>එම්. පී. සුසිලාවතී</t>
  </si>
  <si>
    <t>එච්. ඒ. සුරාජ් ප්‍රියන්ත</t>
  </si>
  <si>
    <t xml:space="preserve">ආර්. එම්. පොඩියා </t>
  </si>
  <si>
    <t>එස්. පී. සුද්දා</t>
  </si>
  <si>
    <t>පී. ටිකිරාවතී</t>
  </si>
  <si>
    <t>ණය වර්ගය</t>
  </si>
  <si>
    <t>ආර්. එම්. රංජනී</t>
  </si>
  <si>
    <t>ආර්. එම්. අජිත් ප්‍රේමජයන්ත</t>
  </si>
  <si>
    <t>වයි. නදී කාන්තිලතා</t>
  </si>
  <si>
    <t>බී. එම්. වීරසිංහ</t>
  </si>
  <si>
    <t>අයි. පී. නන්දනී සමරනායක</t>
  </si>
  <si>
    <t>ඒ. එච්. එම්. ආර්. ටිකිරිබංඩා</t>
  </si>
  <si>
    <t>බී. එම්. විජේසිංහ</t>
  </si>
  <si>
    <t>ජී. නිමල්</t>
  </si>
  <si>
    <t>ඒ. එච්. එම්. එච්. කරුණාරත්න</t>
  </si>
  <si>
    <t>ඒ. එච්. එම්. රුක්මන් කුමාර</t>
  </si>
  <si>
    <t>ඒ. එච්. එම්. රංබණ්ඩා</t>
  </si>
  <si>
    <t>ආර්. එච්. එම්. ඩිංගිරිබංඩා</t>
  </si>
  <si>
    <t>එම්. ඒ. චාන්දි ඈපා</t>
  </si>
  <si>
    <t>ආර්. ඩී. සුමතිපාල</t>
  </si>
  <si>
    <t>ආර්. ඩී. නිශාන් සදරුවන්</t>
  </si>
  <si>
    <t>එම්. පී. අනෝජා පතිරණ</t>
  </si>
  <si>
    <t>එම්. පී. ඩී. මැගිලින්</t>
  </si>
  <si>
    <t>ඩී. එම්. දිසානයක</t>
  </si>
  <si>
    <t>ඒ. එච්. එම්. බන්දුල අබේරත්න</t>
  </si>
  <si>
    <t>ආර්. පී. නාලිකා ජයකොඩි</t>
  </si>
  <si>
    <t>ජී. ඒ. ජෝන්සිංඤා</t>
  </si>
  <si>
    <t>ආර්. සුසිලා පියසිලී</t>
  </si>
  <si>
    <t>අයි.කේ.අනුෂිකා වීරසිංහ</t>
  </si>
  <si>
    <t>එල්. පී. සුජිත් නාමල්</t>
  </si>
  <si>
    <t>කේ. ගයාන් මධුසංඛ</t>
  </si>
  <si>
    <t>එස්. එච්. ටියුඩර් ජයශාන්ත</t>
  </si>
  <si>
    <t xml:space="preserve">බී. එම්. මල්ලිකා </t>
  </si>
  <si>
    <t>එස්. එච්. එම්. සිරියාවති</t>
  </si>
  <si>
    <t>ඒ. එම්. තුෂාර සමන්</t>
  </si>
  <si>
    <t>ඩබ්. ඒ. පියසේන</t>
  </si>
  <si>
    <t>ආර්. සුජාතා සුරංගි</t>
  </si>
  <si>
    <t>ඒ. එම්. මහේෂ් ඉන්දික</t>
  </si>
  <si>
    <t>එච්. ජේ. කරුණාසෝම</t>
  </si>
  <si>
    <t>එස්. ජී. කේ. ඩී. බී. එම්. ඇන්ටන්</t>
  </si>
  <si>
    <t>එම්. පී. කරුණාරත්න</t>
  </si>
  <si>
    <t>ආර්. පී. ඩී. සුනන්ද</t>
  </si>
  <si>
    <t>ආර්. පී. ස්වර්ණා</t>
  </si>
  <si>
    <t>ආර්. පී. ඩී. සෝමදාස</t>
  </si>
  <si>
    <t>ආර්. එච්. එම්. ප්‍රියන්ත</t>
  </si>
  <si>
    <t>එච්. පී. ප්‍රේමරත්න</t>
  </si>
  <si>
    <t>ඒ. ජයන්ත අබේවික්‍රම</t>
  </si>
  <si>
    <t>ආර්. පී. ඩී. කීර්තිසේන</t>
  </si>
  <si>
    <t>ආර්. පී. නාමල් රෝහන</t>
  </si>
  <si>
    <t>අයි. කරුණාපාල</t>
  </si>
  <si>
    <t>ආර්. පී. ඩී. බන්දු රාජපක්ෂ</t>
  </si>
  <si>
    <t>ආර්. පී. ඩී. සරදියෙල්</t>
  </si>
  <si>
    <t>ආර්. පී. ඩී. රත්නපාල</t>
  </si>
  <si>
    <t>ආර්. පී. ඩී. ගුණරත්න</t>
  </si>
  <si>
    <t>අයි. පී. ඩී. පියදාස</t>
  </si>
  <si>
    <t>ආර්. එම්. කුසුමාවති</t>
  </si>
  <si>
    <t>ඒ. එම්. චන්දිමා</t>
  </si>
  <si>
    <t>ඩබ්. ඒ. රමනි දිසානායක</t>
  </si>
  <si>
    <t>ඒ. එච්. එම්. වජිරා කුමාරි</t>
  </si>
  <si>
    <t>ආර්. එම්. සෙනවිරත්න</t>
  </si>
  <si>
    <t>ආර්. එම්. රස්නායක</t>
  </si>
  <si>
    <t>ඩබ්. එම්. පුෂ්පා රංජණී</t>
  </si>
  <si>
    <t>ඩබ්. එම්. සෝමරත්න</t>
  </si>
  <si>
    <t>ජී. එම්. ප්‍රේමදාස</t>
  </si>
  <si>
    <t>ඩී. එච්. එම්. තිලකරන්ත</t>
  </si>
  <si>
    <t>කේ. ඩබ්. දිලානි චතුරිකා</t>
  </si>
  <si>
    <t>ඒ. එච්. එම්. සුනිල්</t>
  </si>
  <si>
    <t>ඒ. එච්. එම්. ඒ. මුදියන්සේ</t>
  </si>
  <si>
    <t>ඒ. එච්. එම්. වසන්ත</t>
  </si>
  <si>
    <t>එච්. එම්. පියරත්න</t>
  </si>
  <si>
    <t>ඩබ්. එච්. එම්. ජයන්ත</t>
  </si>
  <si>
    <t>ආර්. එච්. එම්. නලින්ද</t>
  </si>
  <si>
    <t>ඒ. එම්. පියතිලක</t>
  </si>
  <si>
    <t>ඒ. එච්. එම්. තිලකරත්න</t>
  </si>
  <si>
    <t>එච්. ඒ. ඩී. ගාමිණි අබේනන්ද</t>
  </si>
  <si>
    <t>එස්. අනිල් ශාන්ත</t>
  </si>
  <si>
    <t>පී. එන්. විමලසිරි</t>
  </si>
  <si>
    <t>එම්. එල්. ලක්මාලි ප්‍රියදර්ශනී</t>
  </si>
  <si>
    <t>ආර්. පී. ඩී. චාන්දනී</t>
  </si>
  <si>
    <t>එල්. ඩබ්. ශිරෝමා නිරෝෂිණී</t>
  </si>
  <si>
    <t>කේ. ඒ. ඉරේෂා මධුවන්ති</t>
  </si>
  <si>
    <t>පී. එච්. ප්‍රියංකා නිල්මිණී</t>
  </si>
  <si>
    <t>ඒ. එච්. එම්. විමලරත්න</t>
  </si>
  <si>
    <t>ඒ. එච්. එම්. සුනේත්‍රා මල්කාන්ති</t>
  </si>
  <si>
    <t>එල්. පී. පී. ප්‍රේමදාස</t>
  </si>
  <si>
    <t>ආර්. ලක්ෂ්මන් විජයවීර</t>
  </si>
  <si>
    <t>එම්. එම්. සරත් ජයවීර</t>
  </si>
  <si>
    <t>ජී. ජී. අමල් එරංග</t>
  </si>
  <si>
    <t>පී. ඩබ්. එල්. පාලිත ප්‍රියන්ත</t>
  </si>
  <si>
    <t>ඩී. එච්. එම්. චිත්‍රානන්ද</t>
  </si>
  <si>
    <t>එම්. පිී. ශ්‍රියානි මල්ලිකා</t>
  </si>
  <si>
    <t>කේ. නිමාලි ප්‍රියදර්ශනී</t>
  </si>
  <si>
    <t>ඒ. පී. විජිතා කීර්තිරත්න</t>
  </si>
  <si>
    <t>ඩී. එම්. විනීතා දිසානායක</t>
  </si>
  <si>
    <t>ජේ. ඒ. රම්‍යදාස</t>
  </si>
  <si>
    <t>ජේ. ඒ. එන්. ජයතිලක</t>
  </si>
  <si>
    <t>ජේ. ඒ. රාජපක්ෂ ජයකොඩි</t>
  </si>
  <si>
    <t>ඩබ්. අන්ටන් ජෝජ්</t>
  </si>
  <si>
    <t>කේ. පී. යූ. චමින්ද</t>
  </si>
  <si>
    <t>ආර්. ඒ. රුවන් නිශාන්ත</t>
  </si>
  <si>
    <t>එච්. සුගතදාස</t>
  </si>
  <si>
    <t>එච්. නලින්ද සම්පත්</t>
  </si>
  <si>
    <t>කේ. දිනේෂ් තාරක</t>
  </si>
  <si>
    <t>සමන්ත උදයකුමාර</t>
  </si>
  <si>
    <t>කේ. පී. ජී. ඒ. ඥානපාල</t>
  </si>
  <si>
    <t>කේ. පී. ජී. ආනන්ද</t>
  </si>
  <si>
    <t>ආර්. පී. එම්. සුසන්ත කුමාර</t>
  </si>
  <si>
    <t>කේ. පී. ජී. ඒ. ප්‍රියන්ත</t>
  </si>
  <si>
    <t>එස්. එන්. ජී. එච්. එම්. සුසන්ත</t>
  </si>
  <si>
    <t>එස්. එච්. එම්. අනුර</t>
  </si>
  <si>
    <t>ආර්. එම්. ජයතිලක</t>
  </si>
  <si>
    <t>එච්. ජී. එම්. තුෂාර මධුසංක</t>
  </si>
  <si>
    <t>ඒ. එච්. එම්. අජිත් කුමාර</t>
  </si>
  <si>
    <t>ජේ. ඒ. රංජිත් සිසිර</t>
  </si>
  <si>
    <t>ජේ. ඒ. සිරිල් කුමාර</t>
  </si>
  <si>
    <t>ජේ. ඒ. ප්‍රියානි කුසුමලතා</t>
  </si>
  <si>
    <t>ඊ. පී. සුමිත් පද්මසිරි</t>
  </si>
  <si>
    <t>එම්. ගිහාන් චාමර</t>
  </si>
  <si>
    <t>ඩී. එම්. කරුණාරත්න</t>
  </si>
  <si>
    <t>ඩී. එම්. නන්දන පද්මසිරි</t>
  </si>
  <si>
    <t>ඩී. එම්. රත්නසිරි චමින්ද</t>
  </si>
  <si>
    <t>ඩී. එම්. සුගත් රොහාන්</t>
  </si>
  <si>
    <t>එච්. පී. ප්‍රියානි මංගලිකා</t>
  </si>
  <si>
    <t>එච්. ඒ. යමුනා දමයන්ති</t>
  </si>
  <si>
    <t>ආර්. පී. චන්ද්‍රිකා නිල්මිණි</t>
  </si>
  <si>
    <t>එම්. පී. ශ්‍රීමතී රසිකා</t>
  </si>
  <si>
    <t>ආර්. පී. ඩී. එම්. රූපාවතී</t>
  </si>
  <si>
    <t>එම්. එම්. සුනිල් මාපා</t>
  </si>
  <si>
    <t>ඒ. එච්. එම්. මැණික්හාමි</t>
  </si>
  <si>
    <t>ඩබ්. එන්. එම්. රංජිත් කුමාර</t>
  </si>
  <si>
    <t>ආර්. පී. ඩී. සිලවතී</t>
  </si>
  <si>
    <t>ආර්. පී. ඩී. තිලකරත්න</t>
  </si>
  <si>
    <t>ආර්. එම්. අමිල ආරියසේන</t>
  </si>
  <si>
    <t>ඩී. එම්. ගැමුණු සදකැලුම්</t>
  </si>
  <si>
    <t>ආර්. එච්. එම්. සංජීව බණ්ඩාර</t>
  </si>
  <si>
    <t>ඩී. එම්. සුසන්ත දිල් රුක්</t>
  </si>
  <si>
    <t>ආර්. එච්. එම්. සුජිත් ප්‍රියංකර</t>
  </si>
  <si>
    <t>ආර්. එච්. එම්. උදේන බණ්ඩාර</t>
  </si>
  <si>
    <t>ආර්. එච්. එම්. ගයාන් මාලින්ද</t>
  </si>
  <si>
    <t>වඩත්ත</t>
  </si>
  <si>
    <t>උප්පලවත්ත</t>
  </si>
  <si>
    <t>තට්ටෑව</t>
  </si>
  <si>
    <t>සංඝට්ටිකුලම</t>
  </si>
  <si>
    <t>ඒ. එච්. එම්. අබේරත්න</t>
  </si>
  <si>
    <t>ජනපදය II</t>
  </si>
  <si>
    <t>ඌරියාව</t>
  </si>
  <si>
    <t>දිවුල්වැව</t>
  </si>
  <si>
    <t>පෙරියකුලම</t>
  </si>
  <si>
    <t>පාලියාගම</t>
  </si>
  <si>
    <t>එම්. එම්. ලලිත් වසන්න</t>
  </si>
  <si>
    <t>සියඹලාගස්හේන</t>
  </si>
  <si>
    <t>ආර්. එම්. ආර්. පීමාති</t>
  </si>
  <si>
    <t>බී. එම්. කුසුමා පද්මලතා</t>
  </si>
  <si>
    <t>එස්. ඒ. වසන්ත පුෂ්පකුමාර</t>
  </si>
  <si>
    <t>ආර්. ඩබ්. අබේවික්‍රම</t>
  </si>
  <si>
    <t>ආර්. එච්. එම්. කරුණාරත්න</t>
  </si>
  <si>
    <t>තෝනිගල</t>
  </si>
  <si>
    <t>කේ. ඩි. ප්‍රියංකා ස්වර්ණලතා</t>
  </si>
  <si>
    <t>එච්. එම්. නෂීර්</t>
  </si>
  <si>
    <t>ජී. ඒ. සිරිසුමන</t>
  </si>
  <si>
    <t>එච්. පී. ඩී. සුරවීර</t>
  </si>
  <si>
    <t>එම්. වයි. එම්. ඉෂ්මත්</t>
  </si>
  <si>
    <t>ඊ. ඒ. වසන්ත චන්ද්‍රකුමාර</t>
  </si>
  <si>
    <t>විහාරගම</t>
  </si>
  <si>
    <t>එස්. එම්. හර්ෂන පියසිරි</t>
  </si>
  <si>
    <t>ධර්මපාලය</t>
  </si>
  <si>
    <t xml:space="preserve">ඒ. කේ. ශාන්ත </t>
  </si>
  <si>
    <t>ජනපදය I</t>
  </si>
  <si>
    <t>ඩී. එච්. එම්. නිමල් කුමාරතුංග</t>
  </si>
  <si>
    <t>එච්. ඩී. වසන්ත කුමාරි</t>
  </si>
  <si>
    <t>එල්. පී. ඩී. නිලන්ති රාජපක්ෂ</t>
  </si>
  <si>
    <t>බම්මන්නේගම</t>
  </si>
  <si>
    <t>කේ. නිමල් චන්ද්‍රසේන</t>
  </si>
  <si>
    <t>කොතළකෙමියාව</t>
  </si>
  <si>
    <t>ගල්ලෑව</t>
  </si>
  <si>
    <t>වී. ඒ. බන්දුලාල් උඩුවිල</t>
  </si>
  <si>
    <t>ආර්.පී. උසිර ජයනාත්</t>
  </si>
  <si>
    <t>අර්. පී. මධුසංක සංජිත්</t>
  </si>
  <si>
    <t>ලබුගල</t>
  </si>
  <si>
    <t>ආනන්ද ප්‍රේමලාල්</t>
  </si>
  <si>
    <t>එච්. එම්. පියදාස</t>
  </si>
  <si>
    <t>ආර්. සයිමා</t>
  </si>
  <si>
    <t>ආර්. එම්. සුනිල් ප්‍රියන්ත</t>
  </si>
  <si>
    <t>ගුණරත්න බංඩා</t>
  </si>
  <si>
    <t>ආර්. එච්. එම්. අබේරත්න</t>
  </si>
  <si>
    <t>ඩී. එම්. උපාලි දිසානයක</t>
  </si>
  <si>
    <t>ජීවනි මංගලිකා</t>
  </si>
  <si>
    <t>චමින්ද රාජපක්ෂ</t>
  </si>
  <si>
    <t>චන්ද්‍රාවතී</t>
  </si>
  <si>
    <t>උපාලි දයාරත්න</t>
  </si>
  <si>
    <t>අජිත් ප්‍රේමජයන්ත</t>
  </si>
  <si>
    <t>ලක්මාලි අමරසිංහ</t>
  </si>
  <si>
    <t xml:space="preserve">අසංක දනේෂ් </t>
  </si>
  <si>
    <t>මිලින්නෝනා</t>
  </si>
  <si>
    <t>සන්දයා කුමුදුනී</t>
  </si>
  <si>
    <t>ජුනි අයවීම්</t>
  </si>
  <si>
    <t>ඒ. එච්. එම්. කිරිබංඩා</t>
  </si>
  <si>
    <t>මංගලිකා</t>
  </si>
  <si>
    <t>ජනක අනුල</t>
  </si>
  <si>
    <t>සුගතපාල</t>
  </si>
  <si>
    <t>අනුර නිශාන්ත</t>
  </si>
  <si>
    <t>කමල් චමිලා</t>
  </si>
  <si>
    <t>ජයලත් වික්‍රමසිංහ</t>
  </si>
  <si>
    <t>සමන් කුමාර</t>
  </si>
  <si>
    <t>සිසිර කුමාර</t>
  </si>
  <si>
    <t>ජයන්ත රොෂාන්</t>
  </si>
  <si>
    <t>ඒ. එච්. එම්. සිසිර සේනාරනත්න</t>
  </si>
  <si>
    <t>කිත්සිරි කුමාර ගීතදේව</t>
  </si>
  <si>
    <t>රවීන්ද්‍ර සංජය කුමාර</t>
  </si>
  <si>
    <t>රේණුක හේරත්</t>
  </si>
  <si>
    <t>ඩග්ලස් අබේරත්න</t>
  </si>
  <si>
    <t>චින්තක අබේරත්න</t>
  </si>
  <si>
    <t>පියසීලී රත්නායක</t>
  </si>
  <si>
    <t>නිස්සංක විජේසිරි</t>
  </si>
  <si>
    <t>ජූලි අයවීම්</t>
  </si>
  <si>
    <t>අගෝස්තු අයවීම්</t>
  </si>
  <si>
    <t>සැප්තැම්බර් අයවීම්</t>
  </si>
  <si>
    <t>ඔක්තොබර් අයවීම්</t>
  </si>
  <si>
    <t>නොවැම්බර් අයවීම්</t>
  </si>
  <si>
    <t>දෙසැම්බර් අයවීම්</t>
  </si>
  <si>
    <t>හිග ශේෂය</t>
  </si>
  <si>
    <t>ඒ. එච්. එම්. ජයකොඩි</t>
  </si>
  <si>
    <t>පිී. එච්. ඉන්ද්‍රානී බාලසූරිය</t>
  </si>
  <si>
    <t>පී. එච්. සුනේත්‍රා බාලසූරිය</t>
  </si>
  <si>
    <t>ආර්. මාලනී පුෂ්පලතා</t>
  </si>
  <si>
    <t>ඩබ්. ඒ. අසංක සමීර</t>
  </si>
  <si>
    <t>තළාකොළවැව</t>
  </si>
  <si>
    <t>සිතාරා නිර්මාණි</t>
  </si>
  <si>
    <t>ඒ.එච්.එම්. දසනායක</t>
  </si>
  <si>
    <t>විනිශ්‍ය සභා</t>
  </si>
  <si>
    <t>හ/පාලියාගම</t>
  </si>
  <si>
    <t>කරඹෑව</t>
  </si>
  <si>
    <t>ජී. ඒ. ජයසේන</t>
  </si>
  <si>
    <t>ඩබ්. එස්. එම්. ජයතිලක</t>
  </si>
  <si>
    <t>ආර්. එම්. බී. ඩිංගිරි අම්මා</t>
  </si>
  <si>
    <t>ආර්. ඒ. ගයාන්</t>
  </si>
  <si>
    <t>ආර්. එම්. බී. ලීලාවතී</t>
  </si>
  <si>
    <t>ආර්. ඒ. කරුණාරත්න</t>
  </si>
  <si>
    <t>ඩබ්. පියසීලී</t>
  </si>
  <si>
    <t>එල්. ලක්ෂාන්</t>
  </si>
  <si>
    <t>ජී. ආර්. එම්. අමිත්</t>
  </si>
  <si>
    <t>ඒ. එච්. එම්. ජයරත්න</t>
  </si>
  <si>
    <t>එල්. සංජය</t>
  </si>
  <si>
    <t>එල්. නිහාල් ජයරත්න</t>
  </si>
  <si>
    <t>ආර්. මේබල් බේබි</t>
  </si>
  <si>
    <t>ඒ. එච්. එම්. කේ. බංඩාර</t>
  </si>
  <si>
    <t>එම්. ඒ. ප්‍රේමකීර්ති</t>
  </si>
  <si>
    <t>ඩී. එම්. අමල්</t>
  </si>
  <si>
    <t>ජී. කේ. ඒ. කේ. කුමාරි</t>
  </si>
  <si>
    <t>ඒ. එච්. එම්. සේමසිංහ</t>
  </si>
  <si>
    <t>එම්. අයි. බී. අජිත්</t>
  </si>
  <si>
    <t>ඩබ්. එච්. එම්. පී. බණ්ඩාර</t>
  </si>
  <si>
    <t>ඒ. එච්. එම්. දිසානායක</t>
  </si>
  <si>
    <t>ඒ. ඒ. ඩී. චමින්ද සුදත්</t>
  </si>
  <si>
    <t>කේ. එච්. එම්. ශාන්තලාල්</t>
  </si>
  <si>
    <t>ඒ. එච්. එම්. උදේනි</t>
  </si>
  <si>
    <t>එම්. ඒ. චන්දන</t>
  </si>
  <si>
    <t>ඒ. ඒ. ඒ. මල්කාන්ති</t>
  </si>
  <si>
    <t>ආර්. එච්. එම්. දසනායක</t>
  </si>
  <si>
    <t>ආර්. ඒ. වස්තුවා</t>
  </si>
  <si>
    <t>එම්. අයි. බී. රත්නායක</t>
  </si>
  <si>
    <t>එන්. එම්. චන්ද්‍රසේන</t>
  </si>
  <si>
    <t>එච්. පී. සිසිල් චන්දන</t>
  </si>
  <si>
    <t>අයි. පී. ඩී. ජයරත්න</t>
  </si>
  <si>
    <t>එම්. රොෂාන් සංජීව</t>
  </si>
  <si>
    <t>අයි. පී. කමලාවතී</t>
  </si>
  <si>
    <t>එස්. පී. මහින්ද</t>
  </si>
  <si>
    <t>ඒ. එච්. එම්. එස්. සම්පත්</t>
  </si>
  <si>
    <t>ඒ. එච්. එම්. එස්. ගයාෂාන්</t>
  </si>
  <si>
    <t>ඒ. එච්. එම්. සංජීව</t>
  </si>
  <si>
    <t>ඒ. එච්. එම්. උපාලි</t>
  </si>
  <si>
    <t>ආර්. ඒ. හෂාන් රන්දෙණිය</t>
  </si>
  <si>
    <t>පී. නිලුකා දමයන්ති</t>
  </si>
  <si>
    <t>ඒ. ජී. සුනේත්‍රා බාලසූරිය</t>
  </si>
  <si>
    <t>කේ. මංගල උදාර විමලසේන</t>
  </si>
  <si>
    <t>එම්. ඩබ්. බී. මාලනී</t>
  </si>
  <si>
    <t>එස්. කරුණාදාස</t>
  </si>
  <si>
    <t>ප්‍රියංකා සදමාලි රාජපක්ෂ</t>
  </si>
  <si>
    <t>එච්. පී. ඩී. ජයලත් කීර්තිලතා</t>
  </si>
  <si>
    <t>එම්. ඒ. විමලරත්න</t>
  </si>
  <si>
    <t>ඊ. ඒ. වින්සන්</t>
  </si>
  <si>
    <t>ඩබ්. එන්. එම්. සිරිසේන</t>
  </si>
  <si>
    <t>ඩබ්. ගාමිණි වික්‍රමසිංහ</t>
  </si>
  <si>
    <t>ආර්. ඒ. සුමතිපාල</t>
  </si>
  <si>
    <t>ඒ. එම්. රේණුකා දමයන්ති</t>
  </si>
  <si>
    <t>එම්. පී. ඩී. රංජිත් රණසිරි</t>
  </si>
  <si>
    <t>ආර්. පී. ශාන්ත ජයරත්න</t>
  </si>
  <si>
    <t>ආර්. ඩී. සෝමාවතී</t>
  </si>
  <si>
    <t>ආර්. සේපාල ෂෙල්ටන්</t>
  </si>
  <si>
    <t>එච්. ඒ. ඉංදු කුමාර</t>
  </si>
  <si>
    <t>ඒ. එච්. එම්. දිනේෂ් ප්‍රියංකර හේරත්</t>
  </si>
  <si>
    <t>එච්. ඒ. සන්ද්‍යා රුවන්</t>
  </si>
  <si>
    <t xml:space="preserve">එස්. ඩී. එස්. රොෂාන් ප්‍රදීප් </t>
  </si>
  <si>
    <t>ඒ. එච්. චානක නිරෝෂන්</t>
  </si>
  <si>
    <t>ඊ. එම්. තිලකවර්ධන</t>
  </si>
  <si>
    <t>ආර්. එම්. ධර්මදාස</t>
  </si>
  <si>
    <t>එස්. එම්. ධනංජය ඩිලාන්</t>
  </si>
  <si>
    <t>එස්. එච්. එම්. චන්ද්‍රාවතී</t>
  </si>
  <si>
    <t>කේ. පී. ප්‍රියන්ත පටබැදිගේ</t>
  </si>
  <si>
    <t>ආර්. පී. නිශාන්ති</t>
  </si>
  <si>
    <t>එස්. එම්. චන්දන නාලක</t>
  </si>
  <si>
    <t>එම්. පී. කීර්තිපාල</t>
  </si>
  <si>
    <t>සුලනී ඉමාෂා</t>
  </si>
  <si>
    <t>ඒ. එම්. දිසානායක</t>
  </si>
  <si>
    <t>ඒ. එච්. එම්. ශ්‍රියාන් චන්දන</t>
  </si>
  <si>
    <t>යූ. එස්. ඒ. පුෂ්පකුමාර</t>
  </si>
  <si>
    <t>එන්. ඒ. ජගත් නිශ්ශංක</t>
  </si>
  <si>
    <t>ඩබ්. සුරංග බොනිපස් පෙරේරා</t>
  </si>
  <si>
    <t>තම්මැන්නාගම</t>
  </si>
  <si>
    <t>ණය මුදල</t>
  </si>
  <si>
    <t>කේ. විජිත කුමාර ජයසිංහ</t>
  </si>
  <si>
    <t>ජී. විජිත කුමාර රණසිංහ</t>
  </si>
  <si>
    <t>එම්. පි. සුනීතා නිල්මිණි</t>
  </si>
  <si>
    <t>එස්. ඒ. තරංග සම්පත්</t>
  </si>
  <si>
    <t>ආර්. එම්. රංබණ්ඩා</t>
  </si>
  <si>
    <t>ආර්. පී. ඩී. එච්. කරුණාජයන්ත</t>
  </si>
  <si>
    <t>එම්. පී. සුගතපාල</t>
  </si>
  <si>
    <t>කෘ ප. නි. ස. නිලධාරීවරයෙකු ඇත/ නැත</t>
  </si>
  <si>
    <t>ඇත</t>
  </si>
  <si>
    <t>නැත</t>
  </si>
  <si>
    <t>ගත් ක්‍රියා මාර්ගය</t>
  </si>
  <si>
    <t>කල් පසු වී ඇත / නැත</t>
  </si>
  <si>
    <t>ණය අංකය</t>
  </si>
  <si>
    <t>ජනවාරි අයවීම්</t>
  </si>
  <si>
    <t>පෙබරවාරි අයවීම්</t>
  </si>
  <si>
    <t>මාර්තු අයවීම්</t>
  </si>
  <si>
    <t>අප්‍රේල් අයවීම්</t>
  </si>
  <si>
    <t>කෘෂි ණය අයවීම් සාරංශය 2025</t>
  </si>
  <si>
    <r>
      <t xml:space="preserve">මැයි </t>
    </r>
    <r>
      <rPr>
        <sz val="11"/>
        <color theme="1"/>
        <rFont val="Aptos Narrow"/>
        <family val="2"/>
        <scheme val="minor"/>
      </rPr>
      <t>අයවීම්</t>
    </r>
  </si>
  <si>
    <t>2025 මහ කන්නය</t>
  </si>
  <si>
    <t>202508-001</t>
  </si>
  <si>
    <t>202508-002</t>
  </si>
  <si>
    <t>202508-003</t>
  </si>
  <si>
    <t>202508-004</t>
  </si>
  <si>
    <t>202508-005</t>
  </si>
  <si>
    <t>202508-006</t>
  </si>
  <si>
    <t>202508-007</t>
  </si>
  <si>
    <t>202508-008</t>
  </si>
  <si>
    <t>202508-009</t>
  </si>
  <si>
    <t>202508-010</t>
  </si>
  <si>
    <t>202508-011</t>
  </si>
  <si>
    <t>202508-012</t>
  </si>
  <si>
    <t>202508-013</t>
  </si>
  <si>
    <t>202508-014</t>
  </si>
  <si>
    <t>202508-015</t>
  </si>
  <si>
    <t>202508-016</t>
  </si>
  <si>
    <t>202508-017</t>
  </si>
  <si>
    <t>202508-018</t>
  </si>
  <si>
    <t>202508-019</t>
  </si>
  <si>
    <t>202508-020</t>
  </si>
  <si>
    <t>202508-021</t>
  </si>
  <si>
    <t>202508-022</t>
  </si>
  <si>
    <t>202508-023</t>
  </si>
  <si>
    <t>202508-024</t>
  </si>
  <si>
    <t>202508-025</t>
  </si>
  <si>
    <t>202508-026</t>
  </si>
  <si>
    <t>202508-027</t>
  </si>
  <si>
    <t>202508-028</t>
  </si>
  <si>
    <t>202508-029</t>
  </si>
  <si>
    <t>202508-030</t>
  </si>
  <si>
    <t>202508-031</t>
  </si>
  <si>
    <t>202508-032</t>
  </si>
  <si>
    <t>202508-033</t>
  </si>
  <si>
    <t>202508-034</t>
  </si>
  <si>
    <t>202508-035</t>
  </si>
  <si>
    <t>202508-036</t>
  </si>
  <si>
    <t>202508-037</t>
  </si>
  <si>
    <t>202508-038</t>
  </si>
  <si>
    <t>202508-039</t>
  </si>
  <si>
    <t>202508-040</t>
  </si>
  <si>
    <t>202508-041</t>
  </si>
  <si>
    <t>202508-042</t>
  </si>
  <si>
    <t>202508-043</t>
  </si>
  <si>
    <t>202508-044</t>
  </si>
  <si>
    <t>202508-045</t>
  </si>
  <si>
    <t>202508-046</t>
  </si>
  <si>
    <t>202508-047</t>
  </si>
  <si>
    <t>202508-048</t>
  </si>
  <si>
    <t>202508-049</t>
  </si>
  <si>
    <t>202508-050</t>
  </si>
  <si>
    <t>202508-051</t>
  </si>
  <si>
    <t>202508-052</t>
  </si>
  <si>
    <t>202508-053</t>
  </si>
  <si>
    <t>202508-054</t>
  </si>
  <si>
    <t>202508-055</t>
  </si>
  <si>
    <t>202508-056</t>
  </si>
  <si>
    <t>202508-057</t>
  </si>
  <si>
    <t>202508-058</t>
  </si>
  <si>
    <t>202508-059</t>
  </si>
  <si>
    <t>202508-060</t>
  </si>
  <si>
    <t>202508-061</t>
  </si>
  <si>
    <t>202508-062</t>
  </si>
  <si>
    <t>202508-063</t>
  </si>
  <si>
    <t>202508-064</t>
  </si>
  <si>
    <t>202508-065</t>
  </si>
  <si>
    <t>202508-066</t>
  </si>
  <si>
    <t>202508-067</t>
  </si>
  <si>
    <t>202508-068</t>
  </si>
  <si>
    <t>202508-069</t>
  </si>
  <si>
    <t>202508-070</t>
  </si>
  <si>
    <t>202508-071</t>
  </si>
  <si>
    <t>202508-072</t>
  </si>
  <si>
    <t>202508-073</t>
  </si>
  <si>
    <t>202508-074</t>
  </si>
  <si>
    <t>202508-075</t>
  </si>
  <si>
    <t>202508-076</t>
  </si>
  <si>
    <t>202508-077</t>
  </si>
  <si>
    <t>202508-078</t>
  </si>
  <si>
    <t>202508-079</t>
  </si>
  <si>
    <t>202508-080</t>
  </si>
  <si>
    <t>202508-081</t>
  </si>
  <si>
    <t>202508-082</t>
  </si>
  <si>
    <t>202508-083</t>
  </si>
  <si>
    <t>202508-084</t>
  </si>
  <si>
    <t>202508-085</t>
  </si>
  <si>
    <t>202508-086</t>
  </si>
  <si>
    <t>202508-087</t>
  </si>
  <si>
    <t>202508-088</t>
  </si>
  <si>
    <t>202508-089</t>
  </si>
  <si>
    <t>202508-090</t>
  </si>
  <si>
    <t>202508-091</t>
  </si>
  <si>
    <t>202508-092</t>
  </si>
  <si>
    <t>202508-093</t>
  </si>
  <si>
    <t>202508-094</t>
  </si>
  <si>
    <t>202508-095</t>
  </si>
  <si>
    <t>202508-096</t>
  </si>
  <si>
    <t>202508-097</t>
  </si>
  <si>
    <t>202508-098</t>
  </si>
  <si>
    <t>202508-099</t>
  </si>
  <si>
    <t>202508-100</t>
  </si>
  <si>
    <t>202508-101</t>
  </si>
  <si>
    <t>202508-102</t>
  </si>
  <si>
    <t>202508-103</t>
  </si>
  <si>
    <t>202508-104</t>
  </si>
  <si>
    <t>202508-105</t>
  </si>
  <si>
    <t>202508-106</t>
  </si>
  <si>
    <t>202508-107</t>
  </si>
  <si>
    <t>202508-108</t>
  </si>
  <si>
    <t>202508-109</t>
  </si>
  <si>
    <t>202508-110</t>
  </si>
  <si>
    <t>202508-111</t>
  </si>
  <si>
    <t>202508-112</t>
  </si>
  <si>
    <t>202508-113</t>
  </si>
  <si>
    <t>202508-114</t>
  </si>
  <si>
    <t>202508-115</t>
  </si>
  <si>
    <t>202508-116</t>
  </si>
  <si>
    <t>202508-117</t>
  </si>
  <si>
    <t>202508-118</t>
  </si>
  <si>
    <t>202508-119</t>
  </si>
  <si>
    <t>202508-120</t>
  </si>
  <si>
    <t>202508-121</t>
  </si>
  <si>
    <t>202508-122</t>
  </si>
  <si>
    <t>202508-123</t>
  </si>
  <si>
    <t>202508-124</t>
  </si>
  <si>
    <t>202508-125</t>
  </si>
  <si>
    <t>202508-126</t>
  </si>
  <si>
    <t>202508-127</t>
  </si>
  <si>
    <t>202508-128</t>
  </si>
  <si>
    <t>202508-129</t>
  </si>
  <si>
    <t>202508-130</t>
  </si>
  <si>
    <t>202508-131</t>
  </si>
  <si>
    <t>202508-132</t>
  </si>
  <si>
    <t>202508-133</t>
  </si>
  <si>
    <t>202508-134</t>
  </si>
  <si>
    <t>202508-135</t>
  </si>
  <si>
    <t>202508-136</t>
  </si>
  <si>
    <t>202508-137</t>
  </si>
  <si>
    <t>202508-138</t>
  </si>
  <si>
    <t>202508-139</t>
  </si>
  <si>
    <t>202508-140</t>
  </si>
  <si>
    <t>202508-141</t>
  </si>
  <si>
    <t>202508-142</t>
  </si>
  <si>
    <t>202508-143</t>
  </si>
  <si>
    <t>202508-144</t>
  </si>
  <si>
    <t>202508-145</t>
  </si>
  <si>
    <t>202508-146</t>
  </si>
  <si>
    <t>202508-147</t>
  </si>
  <si>
    <t>202508-148</t>
  </si>
  <si>
    <t>202508-149</t>
  </si>
  <si>
    <t>202508-150</t>
  </si>
  <si>
    <t>202508-151</t>
  </si>
  <si>
    <t>202508-152</t>
  </si>
  <si>
    <t>202508-153</t>
  </si>
  <si>
    <t>202508-154</t>
  </si>
  <si>
    <t>202508-155</t>
  </si>
  <si>
    <t>202508-156</t>
  </si>
  <si>
    <t>202508-157</t>
  </si>
  <si>
    <t>202508-158</t>
  </si>
  <si>
    <t>202508-159</t>
  </si>
  <si>
    <t>202508-160</t>
  </si>
  <si>
    <t>202508-161</t>
  </si>
  <si>
    <t>202508-162</t>
  </si>
  <si>
    <t>202508-163</t>
  </si>
  <si>
    <t>202508-164</t>
  </si>
  <si>
    <t>202508-165</t>
  </si>
  <si>
    <t>202508-166</t>
  </si>
  <si>
    <t>202508-167</t>
  </si>
  <si>
    <t>202508-168</t>
  </si>
  <si>
    <t>202508-169</t>
  </si>
  <si>
    <t>202508-170</t>
  </si>
  <si>
    <t>202508-171</t>
  </si>
  <si>
    <t>202508-172</t>
  </si>
  <si>
    <t>202508-173</t>
  </si>
  <si>
    <t>202508-174</t>
  </si>
  <si>
    <t>202508-175</t>
  </si>
  <si>
    <t>202508-176</t>
  </si>
  <si>
    <t>202508-177</t>
  </si>
  <si>
    <t>202508-178</t>
  </si>
  <si>
    <t>202508-179</t>
  </si>
  <si>
    <t>202508-180</t>
  </si>
  <si>
    <t>202508-181</t>
  </si>
  <si>
    <t>202508-182</t>
  </si>
  <si>
    <t>202508-183</t>
  </si>
  <si>
    <t>202508-184</t>
  </si>
  <si>
    <t>202508-185</t>
  </si>
  <si>
    <t>202508-186</t>
  </si>
  <si>
    <t>202508-187</t>
  </si>
  <si>
    <t>202508-188</t>
  </si>
  <si>
    <t>202508-189</t>
  </si>
  <si>
    <t>202508-190</t>
  </si>
  <si>
    <t>202508-191</t>
  </si>
  <si>
    <t>202508-192</t>
  </si>
  <si>
    <t>202508-193</t>
  </si>
  <si>
    <t>202508-194</t>
  </si>
  <si>
    <t>202508-195</t>
  </si>
  <si>
    <t>202508-196</t>
  </si>
  <si>
    <t>202508-197</t>
  </si>
  <si>
    <t>202508-198</t>
  </si>
  <si>
    <t>202508-199</t>
  </si>
  <si>
    <t>202508-200</t>
  </si>
  <si>
    <t>202508-201</t>
  </si>
  <si>
    <t>202508-202</t>
  </si>
  <si>
    <t>202508-203</t>
  </si>
  <si>
    <t>202508-204</t>
  </si>
  <si>
    <t>202508-205</t>
  </si>
  <si>
    <t>202508-206</t>
  </si>
  <si>
    <t>202508-207</t>
  </si>
  <si>
    <t>202508-208</t>
  </si>
  <si>
    <t>202508-209</t>
  </si>
  <si>
    <t>202508-210</t>
  </si>
  <si>
    <t>202508-211</t>
  </si>
  <si>
    <t>202508-212</t>
  </si>
  <si>
    <t>202508-213</t>
  </si>
  <si>
    <t>202508-214</t>
  </si>
  <si>
    <t>202508-215</t>
  </si>
  <si>
    <t>202508-216</t>
  </si>
  <si>
    <t>202508-217</t>
  </si>
  <si>
    <t>202508-218</t>
  </si>
  <si>
    <t>202508-219</t>
  </si>
  <si>
    <t>202508-220</t>
  </si>
  <si>
    <t>202508-221</t>
  </si>
  <si>
    <t>202508-222</t>
  </si>
  <si>
    <t>202508-223</t>
  </si>
  <si>
    <t>202508-224</t>
  </si>
  <si>
    <t>202508-225</t>
  </si>
  <si>
    <t>202508-226</t>
  </si>
  <si>
    <t>202508-227</t>
  </si>
  <si>
    <t>202508-228</t>
  </si>
  <si>
    <t>202508-229</t>
  </si>
  <si>
    <t>202508-230</t>
  </si>
  <si>
    <t>202508-231</t>
  </si>
  <si>
    <t>202508-232</t>
  </si>
  <si>
    <t>202508-233</t>
  </si>
  <si>
    <t>202508-234</t>
  </si>
  <si>
    <t>202508-235</t>
  </si>
  <si>
    <t>202508-236</t>
  </si>
  <si>
    <t>202508-237</t>
  </si>
  <si>
    <t>202508-238</t>
  </si>
  <si>
    <t>202508-239</t>
  </si>
  <si>
    <t>202508-240</t>
  </si>
  <si>
    <t>202508-241</t>
  </si>
  <si>
    <t>202508-242</t>
  </si>
  <si>
    <t>202508-243</t>
  </si>
  <si>
    <t>202508-244</t>
  </si>
  <si>
    <t>202508-245</t>
  </si>
  <si>
    <t>202508-246</t>
  </si>
  <si>
    <t>202508-247</t>
  </si>
  <si>
    <t>202508-248</t>
  </si>
  <si>
    <t>202508-249</t>
  </si>
  <si>
    <t>202508-250</t>
  </si>
  <si>
    <t>202508-251</t>
  </si>
  <si>
    <t>202508-252</t>
  </si>
  <si>
    <t>202508-253</t>
  </si>
  <si>
    <t>202508-254</t>
  </si>
  <si>
    <t>202508-255</t>
  </si>
  <si>
    <t>202508-256</t>
  </si>
  <si>
    <t>202508-257</t>
  </si>
  <si>
    <t>202508-258</t>
  </si>
  <si>
    <t>202508-259</t>
  </si>
  <si>
    <t>202508-260</t>
  </si>
  <si>
    <t>202508-261</t>
  </si>
  <si>
    <t>202508-262</t>
  </si>
  <si>
    <t>202508-263</t>
  </si>
  <si>
    <t>202508-264</t>
  </si>
  <si>
    <t>202508-265</t>
  </si>
  <si>
    <t>202508-266</t>
  </si>
  <si>
    <t>202508-267</t>
  </si>
  <si>
    <t>202508-268</t>
  </si>
  <si>
    <t>202508-269</t>
  </si>
  <si>
    <t>202508-270</t>
  </si>
  <si>
    <t>202508-271</t>
  </si>
  <si>
    <t>202508-272</t>
  </si>
  <si>
    <t>202508-273</t>
  </si>
  <si>
    <t>202508-274</t>
  </si>
  <si>
    <t>202508-275</t>
  </si>
  <si>
    <t>202508-276</t>
  </si>
  <si>
    <t>202508-277</t>
  </si>
  <si>
    <t>202508-278</t>
  </si>
  <si>
    <t>202508-279</t>
  </si>
  <si>
    <t>202508-280</t>
  </si>
  <si>
    <t>202508-281</t>
  </si>
  <si>
    <t>202508-282</t>
  </si>
  <si>
    <t>202508-283</t>
  </si>
  <si>
    <t>202508-284</t>
  </si>
  <si>
    <t>202508-285</t>
  </si>
  <si>
    <t>202508-286</t>
  </si>
  <si>
    <t>202508-287</t>
  </si>
  <si>
    <t>202508-288</t>
  </si>
  <si>
    <t>202508-289</t>
  </si>
  <si>
    <t>202508-290</t>
  </si>
  <si>
    <t>202508-291</t>
  </si>
  <si>
    <t>202508-292</t>
  </si>
  <si>
    <t>202508-293</t>
  </si>
  <si>
    <t>202508-294</t>
  </si>
  <si>
    <t>202508-295</t>
  </si>
  <si>
    <t>202508-296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</si>
</sst>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43" fontId="0" fillId="0" borderId="1" xfId="1" applyFont="1" applyBorder="1"/>
    <xf numFmtId="43" fontId="0" fillId="0" borderId="1" xfId="1" applyFont="1" applyFill="1" applyBorder="1"/>
    <xf numFmtId="43" fontId="5" fillId="0" borderId="0" xfId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43" fontId="2" fillId="0" borderId="0" xfId="1" applyFont="1" applyFill="1" applyAlignment="1">
      <alignment horizontal="center"/>
    </xf>
    <xf numFmtId="43" fontId="1" fillId="0" borderId="0" xfId="1" applyFont="1" applyFill="1"/>
    <xf numFmtId="0" fontId="2" fillId="0" borderId="3" xfId="0" applyFont="1" applyBorder="1" applyAlignment="1">
      <alignment horizontal="center"/>
    </xf>
    <xf numFmtId="2" fontId="5" fillId="0" borderId="0" xfId="1" applyNumberFormat="1" applyFont="1" applyAlignment="1">
      <alignment horizontal="center"/>
    </xf>
    <xf numFmtId="2" fontId="0" fillId="0" borderId="0" xfId="1" applyNumberFormat="1" applyFont="1"/>
    <xf numFmtId="2" fontId="0" fillId="0" borderId="1" xfId="1" applyNumberFormat="1" applyFont="1" applyBorder="1"/>
    <xf numFmtId="2" fontId="0" fillId="0" borderId="1" xfId="1" applyNumberFormat="1" applyFont="1" applyFill="1" applyBorder="1"/>
    <xf numFmtId="2" fontId="5" fillId="0" borderId="0" xfId="1" applyNumberFormat="1" applyFont="1" applyFill="1" applyAlignment="1">
      <alignment horizontal="center"/>
    </xf>
    <xf numFmtId="2" fontId="0" fillId="0" borderId="0" xfId="1" applyNumberFormat="1" applyFont="1" applyFill="1"/>
    <xf numFmtId="43" fontId="2" fillId="0" borderId="1" xfId="1" applyFont="1" applyBorder="1"/>
    <xf numFmtId="43" fontId="2" fillId="0" borderId="1" xfId="1" applyFont="1" applyFill="1" applyBorder="1"/>
    <xf numFmtId="2" fontId="2" fillId="0" borderId="0" xfId="1" applyNumberFormat="1" applyFont="1" applyFill="1" applyAlignment="1">
      <alignment horizontal="center"/>
    </xf>
    <xf numFmtId="2" fontId="1" fillId="0" borderId="0" xfId="1" applyNumberFormat="1" applyFont="1" applyFill="1"/>
    <xf numFmtId="2" fontId="2" fillId="0" borderId="3" xfId="0" applyNumberFormat="1" applyFont="1" applyBorder="1" applyAlignment="1">
      <alignment horizontal="center"/>
    </xf>
    <xf numFmtId="2" fontId="2" fillId="0" borderId="1" xfId="1" applyNumberFormat="1" applyFont="1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2" fontId="2" fillId="0" borderId="1" xfId="1" applyNumberFormat="1" applyFont="1" applyBorder="1" applyAlignment="1">
      <alignment horizontal="center"/>
    </xf>
    <xf numFmtId="2" fontId="2" fillId="0" borderId="1" xfId="1" applyNumberFormat="1" applyFont="1" applyFill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43" fontId="0" fillId="0" borderId="3" xfId="1" applyFont="1" applyFill="1" applyBorder="1"/>
    <xf numFmtId="0" fontId="0" fillId="0" borderId="2" xfId="0" applyBorder="1"/>
    <xf numFmtId="43" fontId="0" fillId="0" borderId="0" xfId="1" applyFont="1" applyFill="1"/>
    <xf numFmtId="43" fontId="5" fillId="0" borderId="0" xfId="1" applyFont="1" applyAlignment="1">
      <alignment horizontal="center"/>
    </xf>
    <xf numFmtId="2" fontId="5" fillId="0" borderId="0" xfId="1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1"/>
  <sheetViews>
    <sheetView tabSelected="1" topLeftCell="A79" workbookViewId="0">
      <selection activeCell="B3" sqref="B3"/>
    </sheetView>
  </sheetViews>
  <sheetFormatPr defaultRowHeight="15" x14ac:dyDescent="0.25"/>
  <cols>
    <col min="1" max="1" width="21.42578125" style="1" customWidth="1"/>
    <col min="2" max="2" width="13.140625" style="1" customWidth="1"/>
    <col min="3" max="3" width="28.85546875" customWidth="1"/>
    <col min="4" max="4" width="10.7109375" customWidth="1"/>
    <col min="5" max="5" width="16.28515625" customWidth="1"/>
    <col min="6" max="6" width="20.7109375" customWidth="1"/>
    <col min="7" max="7" width="19.7109375" style="8" customWidth="1"/>
    <col min="8" max="8" width="15.85546875" style="8" customWidth="1"/>
    <col min="9" max="13" width="13.7109375" style="19" customWidth="1"/>
    <col min="14" max="19" width="13.7109375" style="11" customWidth="1"/>
    <col min="20" max="20" width="13.7109375" style="15" customWidth="1"/>
    <col min="21" max="21" width="13.7109375" style="11" customWidth="1"/>
  </cols>
  <sheetData>
    <row r="1" spans="1:21" ht="45" customHeight="1" x14ac:dyDescent="0.55000000000000004">
      <c r="C1" s="31" t="s">
        <v>339</v>
      </c>
      <c r="D1" s="31"/>
      <c r="E1" s="31"/>
      <c r="F1" s="31"/>
      <c r="G1" s="31"/>
      <c r="H1" s="31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</row>
    <row r="2" spans="1:21" ht="26.25" customHeight="1" x14ac:dyDescent="0.55000000000000004">
      <c r="C2" s="4"/>
      <c r="D2" s="4"/>
      <c r="E2" s="4"/>
      <c r="F2" s="4"/>
      <c r="G2" s="7"/>
      <c r="H2" s="7"/>
      <c r="I2" s="18"/>
      <c r="J2" s="18"/>
      <c r="K2" s="18"/>
      <c r="L2" s="18"/>
      <c r="M2" s="18"/>
      <c r="N2" s="10"/>
      <c r="O2" s="10"/>
      <c r="P2" s="10"/>
      <c r="Q2" s="10"/>
      <c r="R2" s="10"/>
      <c r="S2" s="10"/>
      <c r="T2" s="14"/>
    </row>
    <row r="4" spans="1:21" s="6" customFormat="1" ht="51" customHeight="1" x14ac:dyDescent="0.25">
      <c r="A4" s="5" t="s">
        <v>17</v>
      </c>
      <c r="B4" s="5" t="s">
        <v>334</v>
      </c>
      <c r="C4" s="5" t="s">
        <v>0</v>
      </c>
      <c r="D4" s="22" t="s">
        <v>333</v>
      </c>
      <c r="E4" s="5" t="s">
        <v>332</v>
      </c>
      <c r="F4" s="23" t="s">
        <v>329</v>
      </c>
      <c r="G4" s="5" t="s">
        <v>1</v>
      </c>
      <c r="H4" s="9" t="s">
        <v>321</v>
      </c>
      <c r="I4" s="20" t="s">
        <v>335</v>
      </c>
      <c r="J4" s="20" t="s">
        <v>336</v>
      </c>
      <c r="K4" s="20" t="s">
        <v>337</v>
      </c>
      <c r="L4" s="20" t="s">
        <v>338</v>
      </c>
      <c r="M4" s="20" t="s">
        <v>340</v>
      </c>
      <c r="N4" s="24" t="s">
        <v>207</v>
      </c>
      <c r="O4" s="24" t="s">
        <v>226</v>
      </c>
      <c r="P4" s="24" t="s">
        <v>227</v>
      </c>
      <c r="Q4" s="24" t="s">
        <v>228</v>
      </c>
      <c r="R4" s="24" t="s">
        <v>229</v>
      </c>
      <c r="S4" s="24" t="s">
        <v>230</v>
      </c>
      <c r="T4" s="25" t="s">
        <v>231</v>
      </c>
      <c r="U4" s="24" t="s">
        <v>232</v>
      </c>
    </row>
    <row r="5" spans="1:21" ht="14.25" customHeight="1" x14ac:dyDescent="0.25">
      <c r="A5" s="26" t="s">
        <v>341</v>
      </c>
      <c r="B5" s="26" t="s">
        <v>342</v>
      </c>
      <c r="C5" s="27" t="s">
        <v>233</v>
      </c>
      <c r="D5" s="27" t="s">
        <v>331</v>
      </c>
      <c r="E5" s="27" t="s">
        <v>331</v>
      </c>
      <c r="F5" s="27" t="s">
        <v>331</v>
      </c>
      <c r="G5" s="3" t="s">
        <v>238</v>
      </c>
      <c r="H5" s="28">
        <v>50000</v>
      </c>
      <c r="I5" s="13">
        <v>0</v>
      </c>
      <c r="J5" s="3">
        <v>40000</v>
      </c>
      <c r="K5" s="13">
        <v>0</v>
      </c>
      <c r="L5" s="13">
        <v>0</v>
      </c>
      <c r="M5" s="13">
        <v>0</v>
      </c>
      <c r="N5" s="2">
        <v>10000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3">
        <v>0</v>
      </c>
      <c r="U5" s="12">
        <f>H5-(I5+J5+K5+L5+M5+N5+O5+P5+Q5+R5+S5+T5)</f>
        <v>0</v>
      </c>
    </row>
    <row r="6" spans="1:21" ht="15.75" customHeight="1" x14ac:dyDescent="0.25">
      <c r="A6" s="26" t="s">
        <v>341</v>
      </c>
      <c r="B6" s="26" t="s">
        <v>343</v>
      </c>
      <c r="C6" s="27" t="s">
        <v>81</v>
      </c>
      <c r="D6" s="27" t="s">
        <v>331</v>
      </c>
      <c r="E6" s="27" t="s">
        <v>331</v>
      </c>
      <c r="F6" s="27" t="s">
        <v>331</v>
      </c>
      <c r="G6" s="3" t="s">
        <v>238</v>
      </c>
      <c r="H6" s="28">
        <v>50000</v>
      </c>
      <c r="I6" s="13">
        <v>0</v>
      </c>
      <c r="J6" s="13">
        <v>0</v>
      </c>
      <c r="K6" s="3">
        <v>21028</v>
      </c>
      <c r="L6" s="13">
        <v>0</v>
      </c>
      <c r="M6" s="2">
        <v>14486</v>
      </c>
      <c r="N6" s="12">
        <v>0</v>
      </c>
      <c r="O6" s="12">
        <v>0</v>
      </c>
      <c r="P6" s="12">
        <v>0</v>
      </c>
      <c r="Q6" s="12">
        <v>14486</v>
      </c>
      <c r="R6" s="12">
        <v>0</v>
      </c>
      <c r="S6" s="12">
        <v>0</v>
      </c>
      <c r="T6" s="13">
        <v>0</v>
      </c>
      <c r="U6" s="12">
        <f t="shared" ref="U6:U69" si="0">H6-(I6+J6+K6+L6+M6+N6+O6+P6+Q6+R6+S6+T6)</f>
        <v>0</v>
      </c>
    </row>
    <row r="7" spans="1:21" ht="15.75" customHeight="1" x14ac:dyDescent="0.25">
      <c r="A7" s="26" t="s">
        <v>341</v>
      </c>
      <c r="B7" s="26" t="s">
        <v>344</v>
      </c>
      <c r="C7" s="27" t="s">
        <v>234</v>
      </c>
      <c r="D7" s="27" t="s">
        <v>331</v>
      </c>
      <c r="E7" s="27" t="s">
        <v>331</v>
      </c>
      <c r="F7" t="s">
        <v>330</v>
      </c>
      <c r="G7" s="27" t="s">
        <v>168</v>
      </c>
      <c r="H7" s="28">
        <v>20000</v>
      </c>
      <c r="I7" s="13">
        <v>0</v>
      </c>
      <c r="J7" s="13">
        <v>0</v>
      </c>
      <c r="K7" s="13">
        <v>0</v>
      </c>
      <c r="L7" s="13">
        <v>0</v>
      </c>
      <c r="M7" s="2">
        <v>20000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3">
        <v>0</v>
      </c>
      <c r="U7" s="12">
        <f t="shared" si="0"/>
        <v>0</v>
      </c>
    </row>
    <row r="8" spans="1:21" ht="15.75" customHeight="1" x14ac:dyDescent="0.25">
      <c r="A8" s="26" t="s">
        <v>341</v>
      </c>
      <c r="B8" s="26" t="s">
        <v>345</v>
      </c>
      <c r="C8" s="27" t="s">
        <v>235</v>
      </c>
      <c r="D8" s="27" t="s">
        <v>331</v>
      </c>
      <c r="E8" s="27" t="s">
        <v>331</v>
      </c>
      <c r="F8" t="s">
        <v>330</v>
      </c>
      <c r="G8" s="27" t="s">
        <v>168</v>
      </c>
      <c r="H8" s="28">
        <v>25000</v>
      </c>
      <c r="I8" s="13">
        <v>0</v>
      </c>
      <c r="J8" s="13">
        <v>0</v>
      </c>
      <c r="K8" s="13">
        <v>0</v>
      </c>
      <c r="L8" s="13">
        <v>0</v>
      </c>
      <c r="M8" s="2">
        <v>25000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3">
        <v>0</v>
      </c>
      <c r="U8" s="12">
        <f t="shared" si="0"/>
        <v>0</v>
      </c>
    </row>
    <row r="9" spans="1:21" ht="15.75" customHeight="1" x14ac:dyDescent="0.25">
      <c r="A9" s="26" t="s">
        <v>341</v>
      </c>
      <c r="B9" s="26" t="s">
        <v>346</v>
      </c>
      <c r="C9" s="27" t="s">
        <v>236</v>
      </c>
      <c r="D9" s="27" t="s">
        <v>331</v>
      </c>
      <c r="E9" s="27" t="s">
        <v>331</v>
      </c>
      <c r="F9" s="27" t="s">
        <v>330</v>
      </c>
      <c r="G9" s="27" t="s">
        <v>159</v>
      </c>
      <c r="H9" s="28">
        <v>100000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2">
        <v>0</v>
      </c>
      <c r="O9" s="12">
        <v>0</v>
      </c>
      <c r="P9" s="12">
        <v>0</v>
      </c>
      <c r="Q9" s="12">
        <v>40000</v>
      </c>
      <c r="R9" s="12">
        <v>0</v>
      </c>
      <c r="S9" s="2">
        <v>50000</v>
      </c>
      <c r="T9" s="3">
        <v>10000</v>
      </c>
      <c r="U9" s="12">
        <f t="shared" si="0"/>
        <v>0</v>
      </c>
    </row>
    <row r="10" spans="1:21" ht="15.75" customHeight="1" x14ac:dyDescent="0.25">
      <c r="A10" s="26" t="s">
        <v>341</v>
      </c>
      <c r="B10" s="26" t="s">
        <v>347</v>
      </c>
      <c r="C10" s="27" t="s">
        <v>237</v>
      </c>
      <c r="D10" s="27" t="s">
        <v>330</v>
      </c>
      <c r="E10" s="27" t="s">
        <v>241</v>
      </c>
      <c r="F10" t="s">
        <v>330</v>
      </c>
      <c r="G10" s="27" t="s">
        <v>151</v>
      </c>
      <c r="H10" s="28">
        <v>100000</v>
      </c>
      <c r="I10" s="13">
        <v>0</v>
      </c>
      <c r="J10" s="13">
        <v>0</v>
      </c>
      <c r="K10" s="13">
        <v>0</v>
      </c>
      <c r="L10" s="2">
        <v>87142</v>
      </c>
      <c r="M10" s="13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2">
        <v>12858</v>
      </c>
      <c r="T10" s="13">
        <v>0</v>
      </c>
      <c r="U10" s="12">
        <f t="shared" si="0"/>
        <v>0</v>
      </c>
    </row>
    <row r="11" spans="1:21" ht="15.75" customHeight="1" x14ac:dyDescent="0.25">
      <c r="A11" s="26" t="s">
        <v>341</v>
      </c>
      <c r="B11" s="26" t="s">
        <v>348</v>
      </c>
      <c r="C11" s="27" t="s">
        <v>217</v>
      </c>
      <c r="D11" s="27" t="s">
        <v>331</v>
      </c>
      <c r="E11" s="27" t="s">
        <v>331</v>
      </c>
      <c r="F11" s="27" t="s">
        <v>330</v>
      </c>
      <c r="G11" s="3" t="s">
        <v>179</v>
      </c>
      <c r="H11" s="28">
        <v>100000</v>
      </c>
      <c r="I11" s="3">
        <v>52956</v>
      </c>
      <c r="J11" s="13">
        <v>0</v>
      </c>
      <c r="K11" s="13">
        <v>0</v>
      </c>
      <c r="L11" s="2">
        <v>23522</v>
      </c>
      <c r="M11" s="13">
        <v>0</v>
      </c>
      <c r="N11" s="2">
        <v>3995</v>
      </c>
      <c r="O11" s="12">
        <v>0</v>
      </c>
      <c r="P11" s="12">
        <v>0</v>
      </c>
      <c r="Q11" s="12">
        <v>4759</v>
      </c>
      <c r="R11" s="2">
        <v>14768</v>
      </c>
      <c r="S11" s="12">
        <v>0</v>
      </c>
      <c r="T11" s="13">
        <v>0</v>
      </c>
      <c r="U11" s="12">
        <f t="shared" si="0"/>
        <v>0</v>
      </c>
    </row>
    <row r="12" spans="1:21" ht="15.75" customHeight="1" x14ac:dyDescent="0.25">
      <c r="A12" s="26" t="s">
        <v>341</v>
      </c>
      <c r="B12" s="26" t="s">
        <v>349</v>
      </c>
      <c r="C12" s="27" t="s">
        <v>218</v>
      </c>
      <c r="D12" s="27" t="s">
        <v>331</v>
      </c>
      <c r="E12" s="27" t="s">
        <v>331</v>
      </c>
      <c r="F12" s="27" t="s">
        <v>331</v>
      </c>
      <c r="G12" s="3" t="s">
        <v>238</v>
      </c>
      <c r="H12" s="28">
        <v>50000</v>
      </c>
      <c r="I12" s="13">
        <v>0</v>
      </c>
      <c r="J12" s="2">
        <v>17024</v>
      </c>
      <c r="K12" s="3">
        <v>15952</v>
      </c>
      <c r="L12" s="13">
        <v>0</v>
      </c>
      <c r="M12" s="13">
        <v>0</v>
      </c>
      <c r="N12" s="12">
        <v>0</v>
      </c>
      <c r="O12" s="12">
        <v>0</v>
      </c>
      <c r="P12" s="2">
        <v>17024</v>
      </c>
      <c r="Q12" s="12">
        <v>0</v>
      </c>
      <c r="R12" s="12">
        <v>0</v>
      </c>
      <c r="S12" s="12">
        <v>0</v>
      </c>
      <c r="T12" s="13">
        <v>0</v>
      </c>
      <c r="U12" s="12">
        <f t="shared" si="0"/>
        <v>0</v>
      </c>
    </row>
    <row r="13" spans="1:21" ht="15.75" customHeight="1" x14ac:dyDescent="0.25">
      <c r="A13" s="26" t="s">
        <v>341</v>
      </c>
      <c r="B13" s="26" t="s">
        <v>350</v>
      </c>
      <c r="C13" s="27" t="s">
        <v>219</v>
      </c>
      <c r="D13" s="27" t="s">
        <v>330</v>
      </c>
      <c r="E13" s="27" t="s">
        <v>241</v>
      </c>
      <c r="F13" s="27" t="s">
        <v>330</v>
      </c>
      <c r="G13" s="27" t="s">
        <v>160</v>
      </c>
      <c r="H13" s="28">
        <v>100000</v>
      </c>
      <c r="I13" s="3">
        <v>15952</v>
      </c>
      <c r="J13" s="2">
        <v>34167</v>
      </c>
      <c r="K13" s="13">
        <v>0</v>
      </c>
      <c r="L13" s="13">
        <v>0</v>
      </c>
      <c r="M13" s="13">
        <v>0</v>
      </c>
      <c r="N13" s="12">
        <v>0</v>
      </c>
      <c r="O13" s="12">
        <v>0</v>
      </c>
      <c r="P13" s="2">
        <v>34167</v>
      </c>
      <c r="Q13" s="12">
        <v>0</v>
      </c>
      <c r="R13" s="12">
        <v>0</v>
      </c>
      <c r="S13" s="12">
        <v>0</v>
      </c>
      <c r="T13" s="13">
        <v>0</v>
      </c>
      <c r="U13" s="12">
        <f t="shared" si="0"/>
        <v>15714</v>
      </c>
    </row>
    <row r="14" spans="1:21" ht="15.75" customHeight="1" x14ac:dyDescent="0.25">
      <c r="A14" s="26" t="s">
        <v>341</v>
      </c>
      <c r="B14" s="26" t="s">
        <v>351</v>
      </c>
      <c r="C14" s="27" t="s">
        <v>220</v>
      </c>
      <c r="D14" s="27" t="s">
        <v>330</v>
      </c>
      <c r="E14" s="27" t="s">
        <v>241</v>
      </c>
      <c r="F14" s="27" t="s">
        <v>330</v>
      </c>
      <c r="G14" s="27" t="s">
        <v>160</v>
      </c>
      <c r="H14" s="28">
        <v>100000</v>
      </c>
      <c r="I14" s="13">
        <v>0</v>
      </c>
      <c r="J14" s="2">
        <v>6820</v>
      </c>
      <c r="K14" s="13">
        <v>0</v>
      </c>
      <c r="L14" s="13">
        <v>0</v>
      </c>
      <c r="M14" s="13">
        <v>0</v>
      </c>
      <c r="N14" s="12">
        <v>0</v>
      </c>
      <c r="O14" s="2">
        <v>42000</v>
      </c>
      <c r="P14" s="12">
        <v>0</v>
      </c>
      <c r="Q14" s="12">
        <v>51180</v>
      </c>
      <c r="R14" s="12">
        <v>0</v>
      </c>
      <c r="S14" s="12">
        <v>0</v>
      </c>
      <c r="T14" s="13">
        <v>0</v>
      </c>
      <c r="U14" s="12">
        <f t="shared" si="0"/>
        <v>0</v>
      </c>
    </row>
    <row r="15" spans="1:21" ht="15.75" customHeight="1" x14ac:dyDescent="0.25">
      <c r="A15" s="26" t="s">
        <v>341</v>
      </c>
      <c r="B15" s="26" t="s">
        <v>352</v>
      </c>
      <c r="C15" s="27" t="s">
        <v>221</v>
      </c>
      <c r="D15" s="27" t="s">
        <v>330</v>
      </c>
      <c r="E15" s="27" t="s">
        <v>241</v>
      </c>
      <c r="F15" s="27" t="s">
        <v>330</v>
      </c>
      <c r="G15" s="27" t="s">
        <v>160</v>
      </c>
      <c r="H15" s="28">
        <v>100000</v>
      </c>
      <c r="I15" s="13">
        <v>0</v>
      </c>
      <c r="J15" s="2">
        <v>72341</v>
      </c>
      <c r="K15" s="13">
        <v>0</v>
      </c>
      <c r="L15" s="13">
        <v>0</v>
      </c>
      <c r="M15" s="13">
        <v>0</v>
      </c>
      <c r="N15" s="12">
        <v>0</v>
      </c>
      <c r="O15" s="12">
        <v>0</v>
      </c>
      <c r="P15" s="2">
        <v>27659</v>
      </c>
      <c r="Q15" s="12">
        <v>0</v>
      </c>
      <c r="R15" s="12">
        <v>0</v>
      </c>
      <c r="S15" s="12">
        <v>0</v>
      </c>
      <c r="T15" s="13">
        <v>0</v>
      </c>
      <c r="U15" s="12">
        <f t="shared" si="0"/>
        <v>0</v>
      </c>
    </row>
    <row r="16" spans="1:21" ht="15.75" customHeight="1" x14ac:dyDescent="0.25">
      <c r="A16" s="26" t="s">
        <v>341</v>
      </c>
      <c r="B16" s="26" t="s">
        <v>353</v>
      </c>
      <c r="C16" s="27" t="s">
        <v>222</v>
      </c>
      <c r="D16" s="27" t="s">
        <v>330</v>
      </c>
      <c r="E16" s="27" t="s">
        <v>241</v>
      </c>
      <c r="F16" s="27" t="s">
        <v>330</v>
      </c>
      <c r="G16" s="27" t="s">
        <v>185</v>
      </c>
      <c r="H16" s="28">
        <v>100000</v>
      </c>
      <c r="I16" s="13">
        <v>0</v>
      </c>
      <c r="J16" s="2">
        <v>68163</v>
      </c>
      <c r="K16" s="13">
        <v>0</v>
      </c>
      <c r="L16" s="13">
        <v>0</v>
      </c>
      <c r="M16" s="13">
        <v>0</v>
      </c>
      <c r="N16" s="12">
        <v>0</v>
      </c>
      <c r="O16" s="12">
        <v>0</v>
      </c>
      <c r="P16" s="2">
        <v>8271</v>
      </c>
      <c r="Q16" s="12">
        <v>23566</v>
      </c>
      <c r="R16" s="12">
        <v>0</v>
      </c>
      <c r="S16" s="12">
        <v>0</v>
      </c>
      <c r="T16" s="13">
        <v>0</v>
      </c>
      <c r="U16" s="12">
        <f t="shared" si="0"/>
        <v>0</v>
      </c>
    </row>
    <row r="17" spans="1:21" ht="15.75" customHeight="1" x14ac:dyDescent="0.25">
      <c r="A17" s="26" t="s">
        <v>341</v>
      </c>
      <c r="B17" s="26" t="s">
        <v>354</v>
      </c>
      <c r="C17" s="27" t="s">
        <v>223</v>
      </c>
      <c r="D17" s="27" t="s">
        <v>330</v>
      </c>
      <c r="E17" s="27" t="s">
        <v>241</v>
      </c>
      <c r="F17" s="27" t="s">
        <v>330</v>
      </c>
      <c r="G17" s="27" t="s">
        <v>185</v>
      </c>
      <c r="H17" s="28">
        <v>100000</v>
      </c>
      <c r="I17" s="13">
        <v>0</v>
      </c>
      <c r="J17" s="13">
        <v>0</v>
      </c>
      <c r="K17" s="13">
        <v>0</v>
      </c>
      <c r="L17" s="13">
        <v>0</v>
      </c>
      <c r="M17" s="2">
        <v>13260</v>
      </c>
      <c r="N17" s="12">
        <v>0</v>
      </c>
      <c r="O17" s="12">
        <v>0</v>
      </c>
      <c r="P17" s="2">
        <v>13260</v>
      </c>
      <c r="Q17" s="12">
        <v>0</v>
      </c>
      <c r="R17" s="12">
        <v>0</v>
      </c>
      <c r="S17" s="12">
        <v>0</v>
      </c>
      <c r="T17" s="13">
        <v>0</v>
      </c>
      <c r="U17" s="12">
        <f t="shared" si="0"/>
        <v>73480</v>
      </c>
    </row>
    <row r="18" spans="1:21" ht="15.75" customHeight="1" x14ac:dyDescent="0.25">
      <c r="A18" s="26" t="s">
        <v>341</v>
      </c>
      <c r="B18" s="26" t="s">
        <v>355</v>
      </c>
      <c r="C18" s="27" t="s">
        <v>224</v>
      </c>
      <c r="D18" s="27" t="s">
        <v>330</v>
      </c>
      <c r="E18" s="27" t="s">
        <v>241</v>
      </c>
      <c r="F18" s="27" t="s">
        <v>331</v>
      </c>
      <c r="G18" s="3" t="s">
        <v>162</v>
      </c>
      <c r="H18" s="28">
        <v>100000</v>
      </c>
      <c r="I18" s="2">
        <v>15758</v>
      </c>
      <c r="J18" s="13">
        <v>0</v>
      </c>
      <c r="K18" s="13">
        <v>0</v>
      </c>
      <c r="L18" s="13">
        <v>0</v>
      </c>
      <c r="M18" s="13">
        <v>0</v>
      </c>
      <c r="N18" s="2">
        <v>15758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3">
        <v>0</v>
      </c>
      <c r="U18" s="12">
        <f t="shared" si="0"/>
        <v>68484</v>
      </c>
    </row>
    <row r="19" spans="1:21" ht="15.75" customHeight="1" x14ac:dyDescent="0.25">
      <c r="A19" s="26" t="s">
        <v>341</v>
      </c>
      <c r="B19" s="26" t="s">
        <v>356</v>
      </c>
      <c r="C19" s="27" t="s">
        <v>225</v>
      </c>
      <c r="D19" s="27" t="s">
        <v>330</v>
      </c>
      <c r="E19" s="27" t="s">
        <v>241</v>
      </c>
      <c r="F19" s="27" t="s">
        <v>330</v>
      </c>
      <c r="G19" s="27" t="s">
        <v>159</v>
      </c>
      <c r="H19" s="28">
        <v>50000</v>
      </c>
      <c r="I19" s="2">
        <v>44500</v>
      </c>
      <c r="J19" s="13">
        <v>0</v>
      </c>
      <c r="K19" s="13">
        <v>0</v>
      </c>
      <c r="L19" s="13">
        <v>0</v>
      </c>
      <c r="M19" s="13">
        <v>0</v>
      </c>
      <c r="N19" s="2">
        <v>5500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3">
        <v>0</v>
      </c>
      <c r="U19" s="12">
        <f t="shared" si="0"/>
        <v>0</v>
      </c>
    </row>
    <row r="20" spans="1:21" ht="15.75" customHeight="1" x14ac:dyDescent="0.25">
      <c r="A20" s="26" t="s">
        <v>341</v>
      </c>
      <c r="B20" s="26" t="s">
        <v>357</v>
      </c>
      <c r="C20" s="27" t="s">
        <v>2</v>
      </c>
      <c r="D20" s="27" t="s">
        <v>330</v>
      </c>
      <c r="E20" s="27" t="s">
        <v>241</v>
      </c>
      <c r="F20" s="27" t="s">
        <v>331</v>
      </c>
      <c r="G20" s="3" t="s">
        <v>162</v>
      </c>
      <c r="H20" s="28">
        <v>100000</v>
      </c>
      <c r="I20" s="13">
        <v>0</v>
      </c>
      <c r="J20" s="13">
        <v>0</v>
      </c>
      <c r="K20" s="2">
        <v>27233</v>
      </c>
      <c r="L20" s="13">
        <v>0</v>
      </c>
      <c r="M20" s="13">
        <v>0</v>
      </c>
      <c r="N20" s="2">
        <v>12293</v>
      </c>
      <c r="O20" s="3">
        <v>25474</v>
      </c>
      <c r="P20" s="2">
        <v>35000</v>
      </c>
      <c r="Q20" s="12">
        <v>0</v>
      </c>
      <c r="R20" s="12">
        <v>0</v>
      </c>
      <c r="S20" s="12">
        <v>0</v>
      </c>
      <c r="T20" s="13">
        <v>0</v>
      </c>
      <c r="U20" s="12">
        <f t="shared" si="0"/>
        <v>0</v>
      </c>
    </row>
    <row r="21" spans="1:21" ht="15.75" customHeight="1" x14ac:dyDescent="0.25">
      <c r="A21" s="26" t="s">
        <v>341</v>
      </c>
      <c r="B21" s="26" t="s">
        <v>358</v>
      </c>
      <c r="C21" s="27" t="s">
        <v>3</v>
      </c>
      <c r="D21" s="27" t="s">
        <v>330</v>
      </c>
      <c r="E21" s="27" t="s">
        <v>241</v>
      </c>
      <c r="F21" s="27" t="s">
        <v>331</v>
      </c>
      <c r="G21" s="3" t="s">
        <v>162</v>
      </c>
      <c r="H21" s="28">
        <v>100000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2">
        <v>1550</v>
      </c>
      <c r="O21" s="12">
        <v>0</v>
      </c>
      <c r="P21" s="2">
        <v>98450</v>
      </c>
      <c r="Q21" s="12">
        <v>0</v>
      </c>
      <c r="R21" s="12">
        <v>0</v>
      </c>
      <c r="S21" s="12">
        <v>0</v>
      </c>
      <c r="T21" s="13">
        <v>0</v>
      </c>
      <c r="U21" s="12">
        <f t="shared" si="0"/>
        <v>0</v>
      </c>
    </row>
    <row r="22" spans="1:21" ht="15.75" customHeight="1" x14ac:dyDescent="0.25">
      <c r="A22" s="26" t="s">
        <v>341</v>
      </c>
      <c r="B22" s="26" t="s">
        <v>359</v>
      </c>
      <c r="C22" s="27" t="s">
        <v>4</v>
      </c>
      <c r="D22" s="27" t="s">
        <v>330</v>
      </c>
      <c r="E22" s="27" t="s">
        <v>241</v>
      </c>
      <c r="F22" s="27" t="s">
        <v>331</v>
      </c>
      <c r="G22" s="3" t="s">
        <v>162</v>
      </c>
      <c r="H22" s="28">
        <v>100000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2">
        <v>12877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3">
        <v>0</v>
      </c>
      <c r="U22" s="12">
        <f t="shared" si="0"/>
        <v>87123</v>
      </c>
    </row>
    <row r="23" spans="1:21" ht="15.75" customHeight="1" x14ac:dyDescent="0.25">
      <c r="A23" s="26" t="s">
        <v>341</v>
      </c>
      <c r="B23" s="26" t="s">
        <v>360</v>
      </c>
      <c r="C23" s="27" t="s">
        <v>5</v>
      </c>
      <c r="D23" s="27" t="s">
        <v>330</v>
      </c>
      <c r="E23" s="27" t="s">
        <v>241</v>
      </c>
      <c r="F23" s="27" t="s">
        <v>331</v>
      </c>
      <c r="G23" s="3" t="s">
        <v>162</v>
      </c>
      <c r="H23" s="28">
        <v>100000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2">
        <v>0</v>
      </c>
      <c r="O23" s="2">
        <v>2000</v>
      </c>
      <c r="P23" s="12">
        <v>0</v>
      </c>
      <c r="Q23" s="12">
        <v>0</v>
      </c>
      <c r="R23" s="12">
        <v>0</v>
      </c>
      <c r="S23" s="12">
        <v>0</v>
      </c>
      <c r="T23" s="13">
        <v>0</v>
      </c>
      <c r="U23" s="12">
        <f t="shared" si="0"/>
        <v>98000</v>
      </c>
    </row>
    <row r="24" spans="1:21" ht="15.75" customHeight="1" x14ac:dyDescent="0.25">
      <c r="A24" s="26" t="s">
        <v>341</v>
      </c>
      <c r="B24" s="26" t="s">
        <v>361</v>
      </c>
      <c r="C24" s="27" t="s">
        <v>6</v>
      </c>
      <c r="D24" s="27" t="s">
        <v>330</v>
      </c>
      <c r="E24" s="27" t="s">
        <v>241</v>
      </c>
      <c r="F24" s="27" t="s">
        <v>330</v>
      </c>
      <c r="G24" s="3" t="s">
        <v>159</v>
      </c>
      <c r="H24" s="28">
        <v>50000</v>
      </c>
      <c r="I24" s="13">
        <v>0</v>
      </c>
      <c r="J24" s="13">
        <v>0</v>
      </c>
      <c r="K24" s="13">
        <v>0</v>
      </c>
      <c r="L24" s="2">
        <v>18953</v>
      </c>
      <c r="M24" s="13">
        <v>0</v>
      </c>
      <c r="N24" s="2">
        <v>13019</v>
      </c>
      <c r="O24" s="2">
        <v>5934</v>
      </c>
      <c r="P24" s="12">
        <v>0</v>
      </c>
      <c r="Q24" s="12">
        <v>0</v>
      </c>
      <c r="R24" s="12">
        <v>0</v>
      </c>
      <c r="S24" s="12">
        <v>0</v>
      </c>
      <c r="T24" s="13">
        <v>0</v>
      </c>
      <c r="U24" s="12">
        <f t="shared" si="0"/>
        <v>12094</v>
      </c>
    </row>
    <row r="25" spans="1:21" ht="15.75" customHeight="1" x14ac:dyDescent="0.25">
      <c r="A25" s="26" t="s">
        <v>341</v>
      </c>
      <c r="B25" s="26" t="s">
        <v>362</v>
      </c>
      <c r="C25" s="27" t="s">
        <v>7</v>
      </c>
      <c r="D25" s="27" t="s">
        <v>330</v>
      </c>
      <c r="E25" s="27" t="s">
        <v>241</v>
      </c>
      <c r="F25" s="27" t="s">
        <v>331</v>
      </c>
      <c r="G25" s="3" t="s">
        <v>162</v>
      </c>
      <c r="H25" s="28">
        <v>100000</v>
      </c>
      <c r="I25" s="13">
        <v>0</v>
      </c>
      <c r="J25" s="13">
        <v>0</v>
      </c>
      <c r="K25" s="13">
        <v>0</v>
      </c>
      <c r="L25" s="13">
        <v>0</v>
      </c>
      <c r="M25" s="2">
        <v>94135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3">
        <v>0</v>
      </c>
      <c r="U25" s="12">
        <f t="shared" si="0"/>
        <v>5865</v>
      </c>
    </row>
    <row r="26" spans="1:21" ht="15.75" customHeight="1" x14ac:dyDescent="0.25">
      <c r="A26" s="26" t="s">
        <v>341</v>
      </c>
      <c r="B26" s="26" t="s">
        <v>363</v>
      </c>
      <c r="C26" s="27" t="s">
        <v>8</v>
      </c>
      <c r="D26" s="27" t="s">
        <v>330</v>
      </c>
      <c r="E26" s="27" t="s">
        <v>241</v>
      </c>
      <c r="F26" s="27" t="s">
        <v>331</v>
      </c>
      <c r="G26" s="3" t="s">
        <v>162</v>
      </c>
      <c r="H26" s="28">
        <v>100000</v>
      </c>
      <c r="I26" s="13">
        <v>0</v>
      </c>
      <c r="J26" s="13">
        <v>0</v>
      </c>
      <c r="K26" s="13">
        <v>0</v>
      </c>
      <c r="L26" s="13">
        <v>0</v>
      </c>
      <c r="M26" s="2">
        <v>70311</v>
      </c>
      <c r="N26" s="2">
        <v>7284</v>
      </c>
      <c r="O26" s="2">
        <v>4269</v>
      </c>
      <c r="P26" s="12">
        <v>0</v>
      </c>
      <c r="Q26" s="12">
        <v>8648</v>
      </c>
      <c r="R26" s="2">
        <v>2488</v>
      </c>
      <c r="S26" s="12">
        <v>0</v>
      </c>
      <c r="T26" s="3">
        <v>7000</v>
      </c>
      <c r="U26" s="12">
        <f t="shared" si="0"/>
        <v>0</v>
      </c>
    </row>
    <row r="27" spans="1:21" ht="15.75" customHeight="1" x14ac:dyDescent="0.25">
      <c r="A27" s="26" t="s">
        <v>341</v>
      </c>
      <c r="B27" s="26" t="s">
        <v>364</v>
      </c>
      <c r="C27" s="27" t="s">
        <v>9</v>
      </c>
      <c r="D27" s="27" t="s">
        <v>330</v>
      </c>
      <c r="E27" s="27" t="s">
        <v>241</v>
      </c>
      <c r="F27" s="27" t="s">
        <v>330</v>
      </c>
      <c r="G27" s="3" t="s">
        <v>160</v>
      </c>
      <c r="H27" s="28">
        <v>100000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2">
        <v>12373</v>
      </c>
      <c r="O27" s="12">
        <v>0</v>
      </c>
      <c r="P27" s="2">
        <v>87627</v>
      </c>
      <c r="Q27" s="12">
        <v>0</v>
      </c>
      <c r="R27" s="12">
        <v>0</v>
      </c>
      <c r="S27" s="12">
        <v>0</v>
      </c>
      <c r="T27" s="13">
        <v>0</v>
      </c>
      <c r="U27" s="12">
        <f t="shared" si="0"/>
        <v>0</v>
      </c>
    </row>
    <row r="28" spans="1:21" ht="15.75" customHeight="1" x14ac:dyDescent="0.25">
      <c r="A28" s="26" t="s">
        <v>341</v>
      </c>
      <c r="B28" s="26" t="s">
        <v>365</v>
      </c>
      <c r="C28" s="27" t="s">
        <v>10</v>
      </c>
      <c r="D28" s="27" t="s">
        <v>330</v>
      </c>
      <c r="E28" s="27" t="s">
        <v>241</v>
      </c>
      <c r="F28" s="27" t="s">
        <v>330</v>
      </c>
      <c r="G28" s="3" t="s">
        <v>160</v>
      </c>
      <c r="H28" s="28">
        <v>100000</v>
      </c>
      <c r="I28" s="2">
        <v>60935</v>
      </c>
      <c r="J28" s="13">
        <v>0</v>
      </c>
      <c r="K28" s="13">
        <v>0</v>
      </c>
      <c r="L28" s="13">
        <v>0</v>
      </c>
      <c r="M28" s="13">
        <v>0</v>
      </c>
      <c r="N28" s="2">
        <v>34086</v>
      </c>
      <c r="O28" s="12">
        <v>0</v>
      </c>
      <c r="P28" s="2">
        <v>4979</v>
      </c>
      <c r="Q28" s="12">
        <v>0</v>
      </c>
      <c r="R28" s="12">
        <v>0</v>
      </c>
      <c r="S28" s="12">
        <v>0</v>
      </c>
      <c r="T28" s="13">
        <v>0</v>
      </c>
      <c r="U28" s="12">
        <f t="shared" si="0"/>
        <v>0</v>
      </c>
    </row>
    <row r="29" spans="1:21" ht="15.75" customHeight="1" x14ac:dyDescent="0.25">
      <c r="A29" s="26" t="s">
        <v>341</v>
      </c>
      <c r="B29" s="26" t="s">
        <v>366</v>
      </c>
      <c r="C29" s="27" t="s">
        <v>11</v>
      </c>
      <c r="D29" s="27" t="s">
        <v>330</v>
      </c>
      <c r="E29" s="27" t="s">
        <v>241</v>
      </c>
      <c r="F29" s="27" t="s">
        <v>331</v>
      </c>
      <c r="G29" s="3" t="s">
        <v>162</v>
      </c>
      <c r="H29" s="28">
        <v>100000</v>
      </c>
      <c r="I29" s="2">
        <v>72702</v>
      </c>
      <c r="J29" s="13">
        <v>0</v>
      </c>
      <c r="K29" s="13">
        <v>0</v>
      </c>
      <c r="L29" s="13">
        <v>0</v>
      </c>
      <c r="M29" s="13">
        <v>0</v>
      </c>
      <c r="N29" s="2">
        <v>7298</v>
      </c>
      <c r="O29" s="12">
        <v>0</v>
      </c>
      <c r="P29" s="12">
        <v>0</v>
      </c>
      <c r="Q29" s="12">
        <v>0</v>
      </c>
      <c r="R29" s="2">
        <v>10000</v>
      </c>
      <c r="S29" s="2">
        <v>10000</v>
      </c>
      <c r="T29" s="13">
        <v>0</v>
      </c>
      <c r="U29" s="12">
        <f t="shared" si="0"/>
        <v>0</v>
      </c>
    </row>
    <row r="30" spans="1:21" ht="15.75" customHeight="1" x14ac:dyDescent="0.25">
      <c r="A30" s="26" t="s">
        <v>341</v>
      </c>
      <c r="B30" s="26" t="s">
        <v>367</v>
      </c>
      <c r="C30" s="27" t="s">
        <v>12</v>
      </c>
      <c r="D30" s="27" t="s">
        <v>330</v>
      </c>
      <c r="E30" s="27" t="s">
        <v>241</v>
      </c>
      <c r="F30" s="27" t="s">
        <v>331</v>
      </c>
      <c r="G30" s="3" t="s">
        <v>162</v>
      </c>
      <c r="H30" s="28">
        <v>100000</v>
      </c>
      <c r="I30" s="13">
        <v>0</v>
      </c>
      <c r="J30" s="2">
        <v>89424</v>
      </c>
      <c r="K30" s="13">
        <v>0</v>
      </c>
      <c r="L30" s="13">
        <v>0</v>
      </c>
      <c r="M30" s="13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3">
        <v>0</v>
      </c>
      <c r="U30" s="12">
        <f t="shared" si="0"/>
        <v>10576</v>
      </c>
    </row>
    <row r="31" spans="1:21" ht="15.75" customHeight="1" x14ac:dyDescent="0.25">
      <c r="A31" s="26" t="s">
        <v>341</v>
      </c>
      <c r="B31" s="26" t="s">
        <v>368</v>
      </c>
      <c r="C31" s="27" t="s">
        <v>13</v>
      </c>
      <c r="D31" s="27" t="s">
        <v>330</v>
      </c>
      <c r="E31" s="27" t="s">
        <v>241</v>
      </c>
      <c r="F31" s="27" t="s">
        <v>331</v>
      </c>
      <c r="G31" s="3" t="s">
        <v>157</v>
      </c>
      <c r="H31" s="28">
        <v>100000</v>
      </c>
      <c r="I31" s="2">
        <v>25000</v>
      </c>
      <c r="J31" s="13">
        <v>0</v>
      </c>
      <c r="K31" s="13">
        <v>0</v>
      </c>
      <c r="L31" s="13">
        <v>0</v>
      </c>
      <c r="M31" s="13">
        <v>0</v>
      </c>
      <c r="N31" s="12">
        <v>0</v>
      </c>
      <c r="O31" s="12">
        <v>0</v>
      </c>
      <c r="P31" s="12">
        <v>0</v>
      </c>
      <c r="Q31" s="12">
        <v>50000</v>
      </c>
      <c r="R31" s="2">
        <v>25000</v>
      </c>
      <c r="S31" s="12">
        <v>0</v>
      </c>
      <c r="T31" s="13">
        <v>0</v>
      </c>
      <c r="U31" s="12">
        <f t="shared" si="0"/>
        <v>0</v>
      </c>
    </row>
    <row r="32" spans="1:21" ht="15.75" customHeight="1" x14ac:dyDescent="0.25">
      <c r="A32" s="26" t="s">
        <v>341</v>
      </c>
      <c r="B32" s="26" t="s">
        <v>369</v>
      </c>
      <c r="C32" s="27" t="s">
        <v>191</v>
      </c>
      <c r="D32" s="27" t="s">
        <v>330</v>
      </c>
      <c r="E32" s="27" t="s">
        <v>241</v>
      </c>
      <c r="F32" s="27" t="s">
        <v>331</v>
      </c>
      <c r="G32" s="3" t="s">
        <v>162</v>
      </c>
      <c r="H32" s="28">
        <v>100000</v>
      </c>
      <c r="I32" s="13">
        <v>0</v>
      </c>
      <c r="J32" s="13">
        <v>0</v>
      </c>
      <c r="K32" s="13">
        <v>0</v>
      </c>
      <c r="L32" s="2">
        <v>41286</v>
      </c>
      <c r="M32" s="13">
        <v>0</v>
      </c>
      <c r="N32" s="2">
        <v>8389</v>
      </c>
      <c r="O32" s="2">
        <v>32897</v>
      </c>
      <c r="P32" s="12">
        <v>0</v>
      </c>
      <c r="Q32" s="12">
        <v>0</v>
      </c>
      <c r="R32" s="12">
        <v>0</v>
      </c>
      <c r="S32" s="12">
        <v>0</v>
      </c>
      <c r="T32" s="13">
        <v>0</v>
      </c>
      <c r="U32" s="12">
        <f t="shared" si="0"/>
        <v>17428</v>
      </c>
    </row>
    <row r="33" spans="1:21" ht="15.75" customHeight="1" x14ac:dyDescent="0.25">
      <c r="A33" s="26" t="s">
        <v>341</v>
      </c>
      <c r="B33" s="26" t="s">
        <v>370</v>
      </c>
      <c r="C33" s="27" t="s">
        <v>192</v>
      </c>
      <c r="D33" s="27" t="s">
        <v>330</v>
      </c>
      <c r="E33" s="27" t="s">
        <v>241</v>
      </c>
      <c r="F33" s="27" t="s">
        <v>331</v>
      </c>
      <c r="G33" s="3" t="s">
        <v>162</v>
      </c>
      <c r="H33" s="28">
        <v>100000</v>
      </c>
      <c r="I33" s="13">
        <v>0</v>
      </c>
      <c r="J33" s="13">
        <v>0</v>
      </c>
      <c r="K33" s="13">
        <v>0</v>
      </c>
      <c r="L33" s="2">
        <v>7860</v>
      </c>
      <c r="M33" s="13">
        <v>0</v>
      </c>
      <c r="N33" s="2">
        <v>7860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3">
        <v>0</v>
      </c>
      <c r="U33" s="12">
        <f t="shared" si="0"/>
        <v>84280</v>
      </c>
    </row>
    <row r="34" spans="1:21" ht="15.75" customHeight="1" x14ac:dyDescent="0.25">
      <c r="A34" s="26" t="s">
        <v>341</v>
      </c>
      <c r="B34" s="26" t="s">
        <v>371</v>
      </c>
      <c r="C34" s="27" t="s">
        <v>14</v>
      </c>
      <c r="D34" s="27" t="s">
        <v>330</v>
      </c>
      <c r="E34" s="27" t="s">
        <v>241</v>
      </c>
      <c r="F34" s="27" t="s">
        <v>331</v>
      </c>
      <c r="G34" s="3" t="s">
        <v>162</v>
      </c>
      <c r="H34" s="28">
        <v>100000</v>
      </c>
      <c r="I34" s="13">
        <v>0</v>
      </c>
      <c r="J34" s="13">
        <v>0</v>
      </c>
      <c r="K34" s="13">
        <v>0</v>
      </c>
      <c r="L34" s="2">
        <v>100000</v>
      </c>
      <c r="M34" s="13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3">
        <v>0</v>
      </c>
      <c r="U34" s="12">
        <f t="shared" si="0"/>
        <v>0</v>
      </c>
    </row>
    <row r="35" spans="1:21" ht="15.75" customHeight="1" x14ac:dyDescent="0.25">
      <c r="A35" s="26" t="s">
        <v>341</v>
      </c>
      <c r="B35" s="26" t="s">
        <v>372</v>
      </c>
      <c r="C35" s="27" t="s">
        <v>15</v>
      </c>
      <c r="D35" s="27" t="s">
        <v>330</v>
      </c>
      <c r="E35" s="27" t="s">
        <v>241</v>
      </c>
      <c r="F35" s="27" t="s">
        <v>331</v>
      </c>
      <c r="G35" s="3" t="s">
        <v>162</v>
      </c>
      <c r="H35" s="28">
        <v>100000</v>
      </c>
      <c r="I35" s="13">
        <v>0</v>
      </c>
      <c r="J35" s="13">
        <v>0</v>
      </c>
      <c r="K35" s="13">
        <v>0</v>
      </c>
      <c r="L35" s="2">
        <v>35524</v>
      </c>
      <c r="M35" s="13">
        <v>0</v>
      </c>
      <c r="N35" s="2">
        <v>4606</v>
      </c>
      <c r="O35" s="2">
        <v>4618</v>
      </c>
      <c r="P35" s="2">
        <v>4664</v>
      </c>
      <c r="Q35" s="12">
        <v>4760</v>
      </c>
      <c r="R35" s="2">
        <v>4871</v>
      </c>
      <c r="S35" s="2">
        <v>5000</v>
      </c>
      <c r="T35" s="3">
        <v>7005</v>
      </c>
      <c r="U35" s="12">
        <f t="shared" si="0"/>
        <v>28952</v>
      </c>
    </row>
    <row r="36" spans="1:21" ht="15.75" customHeight="1" x14ac:dyDescent="0.25">
      <c r="A36" s="26" t="s">
        <v>341</v>
      </c>
      <c r="B36" s="26" t="s">
        <v>373</v>
      </c>
      <c r="C36" s="27" t="s">
        <v>16</v>
      </c>
      <c r="D36" s="27" t="s">
        <v>330</v>
      </c>
      <c r="E36" s="27" t="s">
        <v>241</v>
      </c>
      <c r="F36" s="27" t="s">
        <v>331</v>
      </c>
      <c r="G36" s="3" t="s">
        <v>162</v>
      </c>
      <c r="H36" s="28">
        <v>100000</v>
      </c>
      <c r="I36" s="13">
        <v>0</v>
      </c>
      <c r="J36" s="13">
        <v>0</v>
      </c>
      <c r="K36" s="13">
        <v>0</v>
      </c>
      <c r="L36" s="2">
        <v>65694</v>
      </c>
      <c r="M36" s="13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3">
        <v>0</v>
      </c>
      <c r="U36" s="12">
        <f t="shared" si="0"/>
        <v>34306</v>
      </c>
    </row>
    <row r="37" spans="1:21" ht="15.75" customHeight="1" x14ac:dyDescent="0.25">
      <c r="A37" s="26" t="s">
        <v>341</v>
      </c>
      <c r="B37" s="26" t="s">
        <v>374</v>
      </c>
      <c r="C37" s="27" t="s">
        <v>161</v>
      </c>
      <c r="D37" s="27" t="s">
        <v>330</v>
      </c>
      <c r="E37" s="27" t="s">
        <v>241</v>
      </c>
      <c r="F37" s="27" t="s">
        <v>331</v>
      </c>
      <c r="G37" s="3" t="s">
        <v>162</v>
      </c>
      <c r="H37" s="28">
        <v>100000</v>
      </c>
      <c r="I37" s="13">
        <v>0</v>
      </c>
      <c r="J37" s="13">
        <v>0</v>
      </c>
      <c r="K37" s="13">
        <v>0</v>
      </c>
      <c r="L37" s="2">
        <v>100000</v>
      </c>
      <c r="M37" s="13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3">
        <v>0</v>
      </c>
      <c r="U37" s="12">
        <f t="shared" si="0"/>
        <v>0</v>
      </c>
    </row>
    <row r="38" spans="1:21" ht="15.75" customHeight="1" x14ac:dyDescent="0.25">
      <c r="A38" s="26" t="s">
        <v>341</v>
      </c>
      <c r="B38" s="26" t="s">
        <v>375</v>
      </c>
      <c r="C38" s="27" t="s">
        <v>193</v>
      </c>
      <c r="D38" s="27" t="s">
        <v>330</v>
      </c>
      <c r="E38" s="27" t="s">
        <v>241</v>
      </c>
      <c r="F38" s="27" t="s">
        <v>331</v>
      </c>
      <c r="G38" s="3" t="s">
        <v>162</v>
      </c>
      <c r="H38" s="28">
        <v>100000</v>
      </c>
      <c r="I38" s="13">
        <v>0</v>
      </c>
      <c r="J38" s="13">
        <v>0</v>
      </c>
      <c r="K38" s="13">
        <v>0</v>
      </c>
      <c r="L38" s="2">
        <v>15368</v>
      </c>
      <c r="M38" s="13">
        <v>0</v>
      </c>
      <c r="N38" s="2">
        <v>15368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3">
        <v>0</v>
      </c>
      <c r="U38" s="12">
        <f t="shared" si="0"/>
        <v>69264</v>
      </c>
    </row>
    <row r="39" spans="1:21" ht="15.75" customHeight="1" x14ac:dyDescent="0.25">
      <c r="A39" s="26" t="s">
        <v>341</v>
      </c>
      <c r="B39" s="26" t="s">
        <v>376</v>
      </c>
      <c r="C39" s="27" t="s">
        <v>245</v>
      </c>
      <c r="D39" s="27" t="s">
        <v>330</v>
      </c>
      <c r="E39" s="27" t="s">
        <v>241</v>
      </c>
      <c r="F39" s="27" t="s">
        <v>331</v>
      </c>
      <c r="G39" s="3" t="s">
        <v>162</v>
      </c>
      <c r="H39" s="28">
        <v>100000</v>
      </c>
      <c r="I39" s="13">
        <v>0</v>
      </c>
      <c r="J39" s="13">
        <v>0</v>
      </c>
      <c r="K39" s="13">
        <v>0</v>
      </c>
      <c r="L39" s="2">
        <v>23370</v>
      </c>
      <c r="M39" s="13">
        <v>0</v>
      </c>
      <c r="N39" s="2">
        <v>14928</v>
      </c>
      <c r="O39" s="2">
        <v>3916</v>
      </c>
      <c r="P39" s="2">
        <v>4581</v>
      </c>
      <c r="Q39" s="12">
        <v>0</v>
      </c>
      <c r="R39" s="2">
        <v>18205</v>
      </c>
      <c r="S39" s="2">
        <v>15000</v>
      </c>
      <c r="T39" s="3">
        <v>20000</v>
      </c>
      <c r="U39" s="12">
        <f t="shared" si="0"/>
        <v>0</v>
      </c>
    </row>
    <row r="40" spans="1:21" ht="15.75" customHeight="1" x14ac:dyDescent="0.25">
      <c r="A40" s="26" t="s">
        <v>341</v>
      </c>
      <c r="B40" s="26" t="s">
        <v>377</v>
      </c>
      <c r="C40" s="27" t="s">
        <v>18</v>
      </c>
      <c r="D40" s="27" t="s">
        <v>330</v>
      </c>
      <c r="E40" s="27" t="s">
        <v>241</v>
      </c>
      <c r="F40" s="27" t="s">
        <v>331</v>
      </c>
      <c r="G40" s="3" t="s">
        <v>162</v>
      </c>
      <c r="H40" s="28">
        <v>100000</v>
      </c>
      <c r="I40" s="2">
        <v>35021</v>
      </c>
      <c r="J40" s="13">
        <v>0</v>
      </c>
      <c r="K40" s="13">
        <v>0</v>
      </c>
      <c r="L40" s="13">
        <v>0</v>
      </c>
      <c r="M40" s="13">
        <v>0</v>
      </c>
      <c r="N40" s="2">
        <v>12307</v>
      </c>
      <c r="O40" s="12">
        <v>0</v>
      </c>
      <c r="P40" s="2">
        <v>32672</v>
      </c>
      <c r="Q40" s="12">
        <v>20000</v>
      </c>
      <c r="R40" s="12">
        <v>0</v>
      </c>
      <c r="S40" s="12">
        <v>0</v>
      </c>
      <c r="T40" s="13">
        <v>0</v>
      </c>
      <c r="U40" s="12">
        <f t="shared" si="0"/>
        <v>0</v>
      </c>
    </row>
    <row r="41" spans="1:21" ht="15.75" customHeight="1" x14ac:dyDescent="0.25">
      <c r="A41" s="26" t="s">
        <v>341</v>
      </c>
      <c r="B41" s="26" t="s">
        <v>378</v>
      </c>
      <c r="C41" s="27" t="s">
        <v>163</v>
      </c>
      <c r="D41" s="27" t="s">
        <v>330</v>
      </c>
      <c r="E41" s="27" t="s">
        <v>241</v>
      </c>
      <c r="F41" s="27" t="s">
        <v>331</v>
      </c>
      <c r="G41" s="3" t="s">
        <v>162</v>
      </c>
      <c r="H41" s="28">
        <v>100000</v>
      </c>
      <c r="I41" s="2">
        <v>43706</v>
      </c>
      <c r="J41" s="13">
        <v>0</v>
      </c>
      <c r="K41" s="13">
        <v>0</v>
      </c>
      <c r="L41" s="13">
        <v>0</v>
      </c>
      <c r="M41" s="13">
        <v>0</v>
      </c>
      <c r="N41" s="2">
        <v>18982</v>
      </c>
      <c r="O41" s="2">
        <v>19534</v>
      </c>
      <c r="P41" s="2">
        <v>17778</v>
      </c>
      <c r="Q41" s="12">
        <v>0</v>
      </c>
      <c r="R41" s="12">
        <v>0</v>
      </c>
      <c r="S41" s="12">
        <v>0</v>
      </c>
      <c r="T41" s="13">
        <v>0</v>
      </c>
      <c r="U41" s="12">
        <f t="shared" si="0"/>
        <v>0</v>
      </c>
    </row>
    <row r="42" spans="1:21" ht="15.75" customHeight="1" x14ac:dyDescent="0.25">
      <c r="A42" s="26" t="s">
        <v>341</v>
      </c>
      <c r="B42" s="26" t="s">
        <v>379</v>
      </c>
      <c r="C42" s="27" t="s">
        <v>194</v>
      </c>
      <c r="D42" s="27" t="s">
        <v>330</v>
      </c>
      <c r="E42" s="27" t="s">
        <v>241</v>
      </c>
      <c r="F42" s="27" t="s">
        <v>331</v>
      </c>
      <c r="G42" s="3" t="s">
        <v>162</v>
      </c>
      <c r="H42" s="28">
        <v>50000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2">
        <v>50000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3">
        <v>0</v>
      </c>
      <c r="U42" s="12">
        <f t="shared" si="0"/>
        <v>0</v>
      </c>
    </row>
    <row r="43" spans="1:21" ht="15.75" customHeight="1" x14ac:dyDescent="0.25">
      <c r="A43" s="26" t="s">
        <v>341</v>
      </c>
      <c r="B43" s="26" t="s">
        <v>380</v>
      </c>
      <c r="C43" s="27" t="s">
        <v>195</v>
      </c>
      <c r="D43" s="27" t="s">
        <v>330</v>
      </c>
      <c r="E43" s="27" t="s">
        <v>241</v>
      </c>
      <c r="F43" s="27" t="s">
        <v>331</v>
      </c>
      <c r="G43" s="3" t="s">
        <v>162</v>
      </c>
      <c r="H43" s="28">
        <v>50000</v>
      </c>
      <c r="I43" s="2">
        <v>915</v>
      </c>
      <c r="J43" s="13">
        <v>0</v>
      </c>
      <c r="K43" s="13">
        <v>0</v>
      </c>
      <c r="L43" s="13">
        <v>0</v>
      </c>
      <c r="M43" s="13">
        <v>0</v>
      </c>
      <c r="N43" s="2">
        <v>915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3">
        <v>0</v>
      </c>
      <c r="U43" s="12">
        <f t="shared" si="0"/>
        <v>48170</v>
      </c>
    </row>
    <row r="44" spans="1:21" ht="15.75" customHeight="1" x14ac:dyDescent="0.25">
      <c r="A44" s="26" t="s">
        <v>341</v>
      </c>
      <c r="B44" s="26" t="s">
        <v>381</v>
      </c>
      <c r="C44" s="27" t="s">
        <v>196</v>
      </c>
      <c r="D44" s="27" t="s">
        <v>330</v>
      </c>
      <c r="E44" s="27" t="s">
        <v>241</v>
      </c>
      <c r="F44" s="27" t="s">
        <v>331</v>
      </c>
      <c r="G44" s="3" t="s">
        <v>162</v>
      </c>
      <c r="H44" s="28">
        <v>100000</v>
      </c>
      <c r="I44" s="13">
        <v>0</v>
      </c>
      <c r="J44" s="13">
        <v>0</v>
      </c>
      <c r="K44" s="2">
        <v>15398</v>
      </c>
      <c r="L44" s="13">
        <v>0</v>
      </c>
      <c r="M44" s="13">
        <v>0</v>
      </c>
      <c r="N44" s="2">
        <v>15398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3">
        <v>0</v>
      </c>
      <c r="U44" s="12">
        <f t="shared" si="0"/>
        <v>69204</v>
      </c>
    </row>
    <row r="45" spans="1:21" ht="15.75" customHeight="1" x14ac:dyDescent="0.25">
      <c r="A45" s="26" t="s">
        <v>341</v>
      </c>
      <c r="B45" s="26" t="s">
        <v>382</v>
      </c>
      <c r="C45" s="27" t="s">
        <v>197</v>
      </c>
      <c r="D45" s="27" t="s">
        <v>330</v>
      </c>
      <c r="E45" s="27" t="s">
        <v>241</v>
      </c>
      <c r="F45" s="27" t="s">
        <v>331</v>
      </c>
      <c r="G45" s="3" t="s">
        <v>186</v>
      </c>
      <c r="H45" s="28">
        <v>50000</v>
      </c>
      <c r="I45" s="13">
        <v>0</v>
      </c>
      <c r="J45" s="13">
        <v>0</v>
      </c>
      <c r="K45" s="2">
        <v>19629</v>
      </c>
      <c r="L45" s="13">
        <v>0</v>
      </c>
      <c r="M45" s="13">
        <v>0</v>
      </c>
      <c r="N45" s="2">
        <v>19629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3">
        <v>0</v>
      </c>
      <c r="U45" s="12">
        <f t="shared" si="0"/>
        <v>10742</v>
      </c>
    </row>
    <row r="46" spans="1:21" ht="15.75" customHeight="1" x14ac:dyDescent="0.25">
      <c r="A46" s="26" t="s">
        <v>341</v>
      </c>
      <c r="B46" s="26" t="s">
        <v>383</v>
      </c>
      <c r="C46" s="27" t="s">
        <v>198</v>
      </c>
      <c r="D46" s="27" t="s">
        <v>330</v>
      </c>
      <c r="E46" s="27" t="s">
        <v>241</v>
      </c>
      <c r="F46" s="27" t="s">
        <v>331</v>
      </c>
      <c r="G46" s="3" t="s">
        <v>186</v>
      </c>
      <c r="H46" s="28">
        <v>50000</v>
      </c>
      <c r="I46" s="13">
        <v>0</v>
      </c>
      <c r="J46" s="13">
        <v>0</v>
      </c>
      <c r="K46" s="13">
        <v>0</v>
      </c>
      <c r="L46" s="13">
        <v>0</v>
      </c>
      <c r="M46" s="2">
        <v>8409</v>
      </c>
      <c r="N46" s="2">
        <v>8409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3">
        <v>0</v>
      </c>
      <c r="U46" s="12">
        <f t="shared" si="0"/>
        <v>33182</v>
      </c>
    </row>
    <row r="47" spans="1:21" ht="15.75" customHeight="1" x14ac:dyDescent="0.25">
      <c r="A47" s="26" t="s">
        <v>341</v>
      </c>
      <c r="B47" s="26" t="s">
        <v>384</v>
      </c>
      <c r="C47" s="27" t="s">
        <v>199</v>
      </c>
      <c r="D47" s="27" t="s">
        <v>330</v>
      </c>
      <c r="E47" s="27" t="s">
        <v>241</v>
      </c>
      <c r="F47" s="27" t="s">
        <v>331</v>
      </c>
      <c r="G47" s="3" t="s">
        <v>186</v>
      </c>
      <c r="H47" s="28">
        <v>50000</v>
      </c>
      <c r="I47" s="13">
        <v>0</v>
      </c>
      <c r="J47" s="13">
        <v>0</v>
      </c>
      <c r="K47" s="13">
        <v>0</v>
      </c>
      <c r="L47" s="13">
        <v>0</v>
      </c>
      <c r="M47" s="2">
        <v>10211</v>
      </c>
      <c r="N47" s="2">
        <v>10211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3">
        <v>0</v>
      </c>
      <c r="U47" s="12">
        <f t="shared" si="0"/>
        <v>29578</v>
      </c>
    </row>
    <row r="48" spans="1:21" ht="15.75" customHeight="1" x14ac:dyDescent="0.25">
      <c r="A48" s="26" t="s">
        <v>341</v>
      </c>
      <c r="B48" s="26" t="s">
        <v>385</v>
      </c>
      <c r="C48" s="27" t="s">
        <v>200</v>
      </c>
      <c r="D48" s="27" t="s">
        <v>330</v>
      </c>
      <c r="E48" s="27" t="s">
        <v>241</v>
      </c>
      <c r="F48" s="27" t="s">
        <v>331</v>
      </c>
      <c r="G48" s="3" t="s">
        <v>162</v>
      </c>
      <c r="H48" s="28">
        <v>100000</v>
      </c>
      <c r="I48" s="13">
        <v>0</v>
      </c>
      <c r="J48" s="13">
        <v>0</v>
      </c>
      <c r="K48" s="2">
        <v>9671</v>
      </c>
      <c r="L48" s="13">
        <v>0</v>
      </c>
      <c r="M48" s="13">
        <v>0</v>
      </c>
      <c r="N48" s="2">
        <v>9671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3">
        <v>0</v>
      </c>
      <c r="U48" s="12">
        <f t="shared" si="0"/>
        <v>80658</v>
      </c>
    </row>
    <row r="49" spans="1:21" ht="15.75" customHeight="1" x14ac:dyDescent="0.25">
      <c r="A49" s="26" t="s">
        <v>341</v>
      </c>
      <c r="B49" s="26" t="s">
        <v>386</v>
      </c>
      <c r="C49" s="27" t="s">
        <v>19</v>
      </c>
      <c r="D49" s="27" t="s">
        <v>330</v>
      </c>
      <c r="E49" s="27" t="s">
        <v>241</v>
      </c>
      <c r="F49" s="27" t="s">
        <v>331</v>
      </c>
      <c r="G49" s="3" t="s">
        <v>162</v>
      </c>
      <c r="H49" s="28">
        <v>100000</v>
      </c>
      <c r="I49" s="13">
        <v>0</v>
      </c>
      <c r="J49" s="2">
        <v>50191</v>
      </c>
      <c r="K49" s="13">
        <v>0</v>
      </c>
      <c r="L49" s="13">
        <v>0</v>
      </c>
      <c r="M49" s="13">
        <v>0</v>
      </c>
      <c r="N49" s="2">
        <v>573</v>
      </c>
      <c r="O49" s="2">
        <v>9531</v>
      </c>
      <c r="P49" s="2">
        <v>9538</v>
      </c>
      <c r="Q49" s="12">
        <v>9586</v>
      </c>
      <c r="R49" s="2">
        <v>10000</v>
      </c>
      <c r="S49" s="2">
        <v>10000</v>
      </c>
      <c r="T49" s="13">
        <v>0</v>
      </c>
      <c r="U49" s="12">
        <f t="shared" si="0"/>
        <v>581</v>
      </c>
    </row>
    <row r="50" spans="1:21" ht="15.75" customHeight="1" x14ac:dyDescent="0.25">
      <c r="A50" s="26" t="s">
        <v>341</v>
      </c>
      <c r="B50" s="26" t="s">
        <v>387</v>
      </c>
      <c r="C50" s="27" t="s">
        <v>201</v>
      </c>
      <c r="D50" s="27" t="s">
        <v>330</v>
      </c>
      <c r="E50" s="27" t="s">
        <v>241</v>
      </c>
      <c r="F50" s="27" t="s">
        <v>331</v>
      </c>
      <c r="G50" s="3" t="s">
        <v>162</v>
      </c>
      <c r="H50" s="28">
        <v>100000</v>
      </c>
      <c r="I50" s="13">
        <v>0</v>
      </c>
      <c r="J50" s="2">
        <v>27872</v>
      </c>
      <c r="K50" s="13">
        <v>0</v>
      </c>
      <c r="L50" s="13">
        <v>0</v>
      </c>
      <c r="M50" s="13">
        <v>0</v>
      </c>
      <c r="N50" s="2">
        <v>19233</v>
      </c>
      <c r="O50" s="2">
        <v>8639</v>
      </c>
      <c r="P50" s="12">
        <v>0</v>
      </c>
      <c r="Q50" s="12">
        <v>0</v>
      </c>
      <c r="R50" s="12">
        <v>0</v>
      </c>
      <c r="S50" s="12">
        <v>0</v>
      </c>
      <c r="T50" s="13">
        <v>0</v>
      </c>
      <c r="U50" s="12">
        <f t="shared" si="0"/>
        <v>44256</v>
      </c>
    </row>
    <row r="51" spans="1:21" ht="15.75" customHeight="1" x14ac:dyDescent="0.25">
      <c r="A51" s="26" t="s">
        <v>341</v>
      </c>
      <c r="B51" s="26" t="s">
        <v>388</v>
      </c>
      <c r="C51" s="29" t="s">
        <v>202</v>
      </c>
      <c r="D51" s="27" t="s">
        <v>330</v>
      </c>
      <c r="E51" s="27" t="s">
        <v>241</v>
      </c>
      <c r="F51" s="27" t="s">
        <v>331</v>
      </c>
      <c r="G51" s="3" t="s">
        <v>162</v>
      </c>
      <c r="H51" s="28">
        <v>100000</v>
      </c>
      <c r="I51" s="13">
        <v>0</v>
      </c>
      <c r="J51" s="3">
        <v>11023</v>
      </c>
      <c r="K51" s="13">
        <v>0</v>
      </c>
      <c r="L51" s="13">
        <v>0</v>
      </c>
      <c r="M51" s="13">
        <v>0</v>
      </c>
      <c r="N51" s="3">
        <v>11023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3">
        <v>0</v>
      </c>
      <c r="U51" s="12">
        <f t="shared" si="0"/>
        <v>77954</v>
      </c>
    </row>
    <row r="52" spans="1:21" ht="15.75" customHeight="1" x14ac:dyDescent="0.25">
      <c r="A52" s="26" t="s">
        <v>341</v>
      </c>
      <c r="B52" s="26" t="s">
        <v>389</v>
      </c>
      <c r="C52" s="27" t="s">
        <v>203</v>
      </c>
      <c r="D52" s="27" t="s">
        <v>330</v>
      </c>
      <c r="E52" s="27" t="s">
        <v>241</v>
      </c>
      <c r="F52" s="27" t="s">
        <v>331</v>
      </c>
      <c r="G52" s="3" t="s">
        <v>186</v>
      </c>
      <c r="H52" s="28">
        <v>50000</v>
      </c>
      <c r="I52" s="13">
        <v>0</v>
      </c>
      <c r="J52" s="2">
        <v>2972</v>
      </c>
      <c r="K52" s="13">
        <v>0</v>
      </c>
      <c r="L52" s="13">
        <v>0</v>
      </c>
      <c r="M52" s="13">
        <v>0</v>
      </c>
      <c r="N52" s="2">
        <v>47028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3">
        <v>0</v>
      </c>
      <c r="U52" s="12">
        <f t="shared" si="0"/>
        <v>0</v>
      </c>
    </row>
    <row r="53" spans="1:21" ht="15.75" customHeight="1" x14ac:dyDescent="0.25">
      <c r="A53" s="26" t="s">
        <v>341</v>
      </c>
      <c r="B53" s="26" t="s">
        <v>390</v>
      </c>
      <c r="C53" s="27" t="s">
        <v>20</v>
      </c>
      <c r="D53" s="27" t="s">
        <v>330</v>
      </c>
      <c r="E53" s="27" t="s">
        <v>241</v>
      </c>
      <c r="F53" s="27" t="s">
        <v>330</v>
      </c>
      <c r="G53" s="3" t="s">
        <v>160</v>
      </c>
      <c r="H53" s="28">
        <v>50000</v>
      </c>
      <c r="I53" s="13">
        <v>0</v>
      </c>
      <c r="J53" s="2">
        <v>15000</v>
      </c>
      <c r="K53" s="13">
        <v>0</v>
      </c>
      <c r="L53" s="13">
        <v>0</v>
      </c>
      <c r="M53" s="13">
        <v>0</v>
      </c>
      <c r="N53" s="2">
        <v>11666</v>
      </c>
      <c r="O53" s="12">
        <v>0</v>
      </c>
      <c r="P53" s="2">
        <v>9503</v>
      </c>
      <c r="Q53" s="12">
        <v>13831</v>
      </c>
      <c r="R53" s="12">
        <v>0</v>
      </c>
      <c r="S53" s="12">
        <v>0</v>
      </c>
      <c r="T53" s="13">
        <v>0</v>
      </c>
      <c r="U53" s="12">
        <f t="shared" si="0"/>
        <v>0</v>
      </c>
    </row>
    <row r="54" spans="1:21" ht="15.75" customHeight="1" x14ac:dyDescent="0.25">
      <c r="A54" s="26" t="s">
        <v>341</v>
      </c>
      <c r="B54" s="26" t="s">
        <v>391</v>
      </c>
      <c r="C54" s="27" t="s">
        <v>21</v>
      </c>
      <c r="D54" s="27" t="s">
        <v>330</v>
      </c>
      <c r="E54" s="27" t="s">
        <v>241</v>
      </c>
      <c r="F54" s="27" t="s">
        <v>330</v>
      </c>
      <c r="G54" s="3" t="s">
        <v>160</v>
      </c>
      <c r="H54" s="28">
        <v>50000</v>
      </c>
      <c r="I54" s="13">
        <v>0</v>
      </c>
      <c r="J54" s="2">
        <v>9079</v>
      </c>
      <c r="K54" s="13">
        <v>0</v>
      </c>
      <c r="L54" s="13">
        <v>0</v>
      </c>
      <c r="M54" s="13">
        <v>0</v>
      </c>
      <c r="N54" s="2">
        <v>10599</v>
      </c>
      <c r="O54" s="12">
        <v>0</v>
      </c>
      <c r="P54" s="2">
        <v>14354</v>
      </c>
      <c r="Q54" s="12">
        <v>15968</v>
      </c>
      <c r="R54" s="12">
        <v>0</v>
      </c>
      <c r="S54" s="12">
        <v>0</v>
      </c>
      <c r="T54" s="13">
        <v>0</v>
      </c>
      <c r="U54" s="12">
        <f t="shared" si="0"/>
        <v>0</v>
      </c>
    </row>
    <row r="55" spans="1:21" ht="15.75" customHeight="1" x14ac:dyDescent="0.25">
      <c r="A55" s="26" t="s">
        <v>341</v>
      </c>
      <c r="B55" s="26" t="s">
        <v>392</v>
      </c>
      <c r="C55" s="27" t="s">
        <v>22</v>
      </c>
      <c r="D55" s="27" t="s">
        <v>330</v>
      </c>
      <c r="E55" s="27" t="s">
        <v>241</v>
      </c>
      <c r="F55" s="27" t="s">
        <v>330</v>
      </c>
      <c r="G55" s="3" t="s">
        <v>158</v>
      </c>
      <c r="H55" s="28">
        <v>50000</v>
      </c>
      <c r="I55" s="13">
        <v>0</v>
      </c>
      <c r="J55" s="13">
        <v>0</v>
      </c>
      <c r="K55" s="3">
        <v>30959</v>
      </c>
      <c r="L55" s="13">
        <v>0</v>
      </c>
      <c r="M55" s="13">
        <v>0</v>
      </c>
      <c r="N55" s="2">
        <v>2142</v>
      </c>
      <c r="O55" s="12">
        <v>0</v>
      </c>
      <c r="P55" s="2">
        <v>4364</v>
      </c>
      <c r="Q55" s="12">
        <v>3535</v>
      </c>
      <c r="R55" s="2">
        <v>5000</v>
      </c>
      <c r="S55" s="12">
        <v>0</v>
      </c>
      <c r="T55" s="3">
        <v>4000</v>
      </c>
      <c r="U55" s="12">
        <f t="shared" si="0"/>
        <v>0</v>
      </c>
    </row>
    <row r="56" spans="1:21" ht="15.75" customHeight="1" x14ac:dyDescent="0.25">
      <c r="A56" s="26" t="s">
        <v>341</v>
      </c>
      <c r="B56" s="26" t="s">
        <v>393</v>
      </c>
      <c r="C56" s="27" t="s">
        <v>164</v>
      </c>
      <c r="D56" s="27" t="s">
        <v>330</v>
      </c>
      <c r="E56" s="27" t="s">
        <v>241</v>
      </c>
      <c r="F56" s="27" t="s">
        <v>330</v>
      </c>
      <c r="G56" s="3" t="s">
        <v>160</v>
      </c>
      <c r="H56" s="28">
        <v>50000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2">
        <v>11808</v>
      </c>
      <c r="O56" s="2">
        <v>9630</v>
      </c>
      <c r="P56" s="2">
        <v>11819</v>
      </c>
      <c r="Q56" s="12">
        <v>0</v>
      </c>
      <c r="R56" s="12">
        <v>0</v>
      </c>
      <c r="S56" s="12">
        <v>0</v>
      </c>
      <c r="T56" s="13">
        <v>0</v>
      </c>
      <c r="U56" s="12">
        <f t="shared" si="0"/>
        <v>16743</v>
      </c>
    </row>
    <row r="57" spans="1:21" ht="15.75" customHeight="1" x14ac:dyDescent="0.25">
      <c r="A57" s="26" t="s">
        <v>341</v>
      </c>
      <c r="B57" s="26" t="s">
        <v>394</v>
      </c>
      <c r="C57" s="27" t="s">
        <v>23</v>
      </c>
      <c r="D57" s="27" t="s">
        <v>330</v>
      </c>
      <c r="E57" s="27" t="s">
        <v>241</v>
      </c>
      <c r="F57" t="s">
        <v>330</v>
      </c>
      <c r="G57" s="3" t="s">
        <v>151</v>
      </c>
      <c r="H57" s="28">
        <v>50000</v>
      </c>
      <c r="I57" s="2">
        <v>14264</v>
      </c>
      <c r="J57" s="13">
        <v>0</v>
      </c>
      <c r="K57" s="13">
        <v>0</v>
      </c>
      <c r="L57" s="13">
        <v>0</v>
      </c>
      <c r="M57" s="13">
        <v>0</v>
      </c>
      <c r="N57" s="2">
        <v>9663</v>
      </c>
      <c r="O57" s="2">
        <v>4593</v>
      </c>
      <c r="P57" s="2">
        <v>9899</v>
      </c>
      <c r="Q57" s="12">
        <v>1843</v>
      </c>
      <c r="R57" s="2">
        <v>5000</v>
      </c>
      <c r="S57" s="2">
        <v>4738</v>
      </c>
      <c r="T57" s="13">
        <v>0</v>
      </c>
      <c r="U57" s="12">
        <f t="shared" si="0"/>
        <v>0</v>
      </c>
    </row>
    <row r="58" spans="1:21" ht="15.75" customHeight="1" x14ac:dyDescent="0.25">
      <c r="A58" s="26" t="s">
        <v>341</v>
      </c>
      <c r="B58" s="26" t="s">
        <v>395</v>
      </c>
      <c r="C58" s="27" t="s">
        <v>165</v>
      </c>
      <c r="D58" s="27" t="s">
        <v>330</v>
      </c>
      <c r="E58" s="27" t="s">
        <v>241</v>
      </c>
      <c r="F58" s="27" t="s">
        <v>330</v>
      </c>
      <c r="G58" s="3" t="s">
        <v>160</v>
      </c>
      <c r="H58" s="28">
        <v>50000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2">
        <v>0</v>
      </c>
      <c r="O58" s="12">
        <v>0</v>
      </c>
      <c r="P58" s="12">
        <v>0</v>
      </c>
      <c r="Q58" s="12">
        <v>0</v>
      </c>
      <c r="R58" s="2">
        <v>50000</v>
      </c>
      <c r="S58" s="12">
        <v>0</v>
      </c>
      <c r="T58" s="13">
        <v>0</v>
      </c>
      <c r="U58" s="12">
        <f t="shared" si="0"/>
        <v>0</v>
      </c>
    </row>
    <row r="59" spans="1:21" ht="15.75" customHeight="1" x14ac:dyDescent="0.25">
      <c r="A59" s="26" t="s">
        <v>341</v>
      </c>
      <c r="B59" s="26" t="s">
        <v>396</v>
      </c>
      <c r="C59" s="27" t="s">
        <v>24</v>
      </c>
      <c r="D59" s="27" t="s">
        <v>330</v>
      </c>
      <c r="E59" s="27" t="s">
        <v>241</v>
      </c>
      <c r="F59" s="27" t="s">
        <v>330</v>
      </c>
      <c r="G59" s="3" t="s">
        <v>160</v>
      </c>
      <c r="H59" s="28">
        <v>50000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2">
        <v>9555</v>
      </c>
      <c r="O59" s="12">
        <v>0</v>
      </c>
      <c r="P59" s="12">
        <v>0</v>
      </c>
      <c r="Q59" s="12">
        <v>38587</v>
      </c>
      <c r="R59" s="2">
        <v>1858</v>
      </c>
      <c r="S59" s="12">
        <v>0</v>
      </c>
      <c r="T59" s="13">
        <v>0</v>
      </c>
      <c r="U59" s="12">
        <f t="shared" si="0"/>
        <v>0</v>
      </c>
    </row>
    <row r="60" spans="1:21" ht="15.75" customHeight="1" x14ac:dyDescent="0.25">
      <c r="A60" s="26" t="s">
        <v>341</v>
      </c>
      <c r="B60" s="26" t="s">
        <v>397</v>
      </c>
      <c r="C60" s="27" t="s">
        <v>239</v>
      </c>
      <c r="D60" s="27" t="s">
        <v>330</v>
      </c>
      <c r="E60" s="27" t="s">
        <v>241</v>
      </c>
      <c r="F60" t="s">
        <v>330</v>
      </c>
      <c r="G60" s="3" t="s">
        <v>168</v>
      </c>
      <c r="H60" s="28">
        <v>50000</v>
      </c>
      <c r="I60" s="13">
        <v>0</v>
      </c>
      <c r="J60" s="13">
        <v>0</v>
      </c>
      <c r="K60" s="13">
        <v>0</v>
      </c>
      <c r="L60" s="2">
        <v>3176</v>
      </c>
      <c r="M60" s="13">
        <v>0</v>
      </c>
      <c r="N60" s="2">
        <v>3176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3">
        <v>0</v>
      </c>
      <c r="U60" s="12">
        <f t="shared" si="0"/>
        <v>43648</v>
      </c>
    </row>
    <row r="61" spans="1:21" ht="15.75" customHeight="1" x14ac:dyDescent="0.25">
      <c r="A61" s="26" t="s">
        <v>341</v>
      </c>
      <c r="B61" s="26" t="s">
        <v>398</v>
      </c>
      <c r="C61" s="27" t="s">
        <v>204</v>
      </c>
      <c r="D61" s="27" t="s">
        <v>330</v>
      </c>
      <c r="E61" s="27" t="s">
        <v>241</v>
      </c>
      <c r="F61" t="s">
        <v>330</v>
      </c>
      <c r="G61" s="3" t="s">
        <v>151</v>
      </c>
      <c r="H61" s="28">
        <v>100000</v>
      </c>
      <c r="I61" s="13">
        <v>0</v>
      </c>
      <c r="J61" s="13">
        <v>0</v>
      </c>
      <c r="K61" s="13">
        <v>0</v>
      </c>
      <c r="L61" s="2">
        <v>5519</v>
      </c>
      <c r="M61" s="13">
        <v>0</v>
      </c>
      <c r="N61" s="12">
        <v>0</v>
      </c>
      <c r="O61" s="2">
        <v>94481</v>
      </c>
      <c r="P61" s="12">
        <v>0</v>
      </c>
      <c r="Q61" s="12">
        <v>0</v>
      </c>
      <c r="R61" s="12">
        <v>0</v>
      </c>
      <c r="S61" s="12">
        <v>0</v>
      </c>
      <c r="T61" s="13">
        <v>0</v>
      </c>
      <c r="U61" s="12">
        <f t="shared" si="0"/>
        <v>0</v>
      </c>
    </row>
    <row r="62" spans="1:21" ht="15.75" customHeight="1" x14ac:dyDescent="0.25">
      <c r="A62" s="26" t="s">
        <v>341</v>
      </c>
      <c r="B62" s="26" t="s">
        <v>399</v>
      </c>
      <c r="C62" s="27" t="s">
        <v>166</v>
      </c>
      <c r="D62" s="27" t="s">
        <v>330</v>
      </c>
      <c r="E62" s="27" t="s">
        <v>241</v>
      </c>
      <c r="F62" s="27" t="s">
        <v>330</v>
      </c>
      <c r="G62" s="3" t="s">
        <v>158</v>
      </c>
      <c r="H62" s="28">
        <v>50000</v>
      </c>
      <c r="I62" s="13">
        <v>0</v>
      </c>
      <c r="J62" s="13">
        <v>0</v>
      </c>
      <c r="K62" s="13">
        <v>0</v>
      </c>
      <c r="L62" s="2">
        <v>45000</v>
      </c>
      <c r="M62" s="13">
        <v>0</v>
      </c>
      <c r="N62" s="2">
        <v>5000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3">
        <v>0</v>
      </c>
      <c r="U62" s="12">
        <f t="shared" si="0"/>
        <v>0</v>
      </c>
    </row>
    <row r="63" spans="1:21" ht="15.75" customHeight="1" x14ac:dyDescent="0.25">
      <c r="A63" s="26" t="s">
        <v>341</v>
      </c>
      <c r="B63" s="26" t="s">
        <v>400</v>
      </c>
      <c r="C63" s="27" t="s">
        <v>25</v>
      </c>
      <c r="D63" s="27" t="s">
        <v>330</v>
      </c>
      <c r="E63" s="27" t="s">
        <v>241</v>
      </c>
      <c r="F63" s="27" t="s">
        <v>331</v>
      </c>
      <c r="G63" s="3" t="s">
        <v>162</v>
      </c>
      <c r="H63" s="28">
        <v>18000</v>
      </c>
      <c r="I63" s="13">
        <v>0</v>
      </c>
      <c r="J63" s="13">
        <v>0</v>
      </c>
      <c r="K63" s="13">
        <v>0</v>
      </c>
      <c r="L63" s="13">
        <v>0</v>
      </c>
      <c r="M63" s="2">
        <v>18000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3">
        <v>0</v>
      </c>
      <c r="U63" s="12">
        <f t="shared" si="0"/>
        <v>0</v>
      </c>
    </row>
    <row r="64" spans="1:21" ht="15.75" customHeight="1" x14ac:dyDescent="0.25">
      <c r="A64" s="26" t="s">
        <v>341</v>
      </c>
      <c r="B64" s="26" t="s">
        <v>401</v>
      </c>
      <c r="C64" s="27" t="s">
        <v>205</v>
      </c>
      <c r="D64" s="27" t="s">
        <v>330</v>
      </c>
      <c r="E64" s="27" t="s">
        <v>241</v>
      </c>
      <c r="F64" s="27" t="s">
        <v>331</v>
      </c>
      <c r="G64" s="3" t="s">
        <v>157</v>
      </c>
      <c r="H64" s="28">
        <v>100000</v>
      </c>
      <c r="I64" s="13">
        <v>0</v>
      </c>
      <c r="J64" s="13">
        <v>0</v>
      </c>
      <c r="K64" s="13">
        <v>0</v>
      </c>
      <c r="L64" s="13">
        <v>0</v>
      </c>
      <c r="M64" s="12">
        <v>42519</v>
      </c>
      <c r="N64" s="2">
        <v>57481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3">
        <v>0</v>
      </c>
      <c r="U64" s="12">
        <f t="shared" si="0"/>
        <v>0</v>
      </c>
    </row>
    <row r="65" spans="1:21" ht="15.75" customHeight="1" x14ac:dyDescent="0.25">
      <c r="A65" s="26" t="s">
        <v>341</v>
      </c>
      <c r="B65" s="26" t="s">
        <v>402</v>
      </c>
      <c r="C65" s="27" t="s">
        <v>206</v>
      </c>
      <c r="D65" s="27" t="s">
        <v>330</v>
      </c>
      <c r="E65" s="27" t="s">
        <v>241</v>
      </c>
      <c r="F65" s="27" t="s">
        <v>331</v>
      </c>
      <c r="G65" s="3" t="s">
        <v>157</v>
      </c>
      <c r="H65" s="28">
        <v>100000</v>
      </c>
      <c r="I65" s="13">
        <v>0</v>
      </c>
      <c r="J65" s="13">
        <v>0</v>
      </c>
      <c r="K65" s="13">
        <v>0</v>
      </c>
      <c r="L65" s="13">
        <v>0</v>
      </c>
      <c r="M65" s="12">
        <v>43519</v>
      </c>
      <c r="N65" s="2">
        <v>56481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3">
        <v>0</v>
      </c>
      <c r="U65" s="12">
        <f t="shared" si="0"/>
        <v>0</v>
      </c>
    </row>
    <row r="66" spans="1:21" ht="15.75" customHeight="1" x14ac:dyDescent="0.25">
      <c r="A66" s="26" t="s">
        <v>341</v>
      </c>
      <c r="B66" s="26" t="s">
        <v>403</v>
      </c>
      <c r="C66" s="27" t="s">
        <v>26</v>
      </c>
      <c r="D66" s="27" t="s">
        <v>330</v>
      </c>
      <c r="E66" s="27" t="s">
        <v>241</v>
      </c>
      <c r="F66" t="s">
        <v>330</v>
      </c>
      <c r="G66" s="3" t="s">
        <v>151</v>
      </c>
      <c r="H66" s="28">
        <v>100000</v>
      </c>
      <c r="I66" s="13">
        <v>0</v>
      </c>
      <c r="J66" s="13">
        <v>0</v>
      </c>
      <c r="K66" s="13">
        <v>0</v>
      </c>
      <c r="L66" s="13">
        <v>0</v>
      </c>
      <c r="M66" s="12">
        <v>8852</v>
      </c>
      <c r="N66" s="12">
        <v>0</v>
      </c>
      <c r="O66" s="12">
        <v>0</v>
      </c>
      <c r="P66" s="2">
        <v>76000</v>
      </c>
      <c r="Q66" s="12">
        <v>0</v>
      </c>
      <c r="R66" s="2">
        <v>15148</v>
      </c>
      <c r="S66" s="12">
        <v>0</v>
      </c>
      <c r="T66" s="13">
        <v>0</v>
      </c>
      <c r="U66" s="12">
        <f t="shared" si="0"/>
        <v>0</v>
      </c>
    </row>
    <row r="67" spans="1:21" ht="15.75" customHeight="1" x14ac:dyDescent="0.25">
      <c r="A67" s="26" t="s">
        <v>341</v>
      </c>
      <c r="B67" s="26" t="s">
        <v>404</v>
      </c>
      <c r="C67" s="27" t="s">
        <v>27</v>
      </c>
      <c r="D67" s="27" t="s">
        <v>330</v>
      </c>
      <c r="E67" s="27" t="s">
        <v>241</v>
      </c>
      <c r="F67" t="s">
        <v>330</v>
      </c>
      <c r="G67" s="3" t="s">
        <v>151</v>
      </c>
      <c r="H67" s="28">
        <v>100000</v>
      </c>
      <c r="I67" s="13">
        <v>0</v>
      </c>
      <c r="J67" s="13">
        <v>0</v>
      </c>
      <c r="K67" s="13">
        <v>0</v>
      </c>
      <c r="L67" s="13">
        <v>0</v>
      </c>
      <c r="M67" s="12">
        <v>29683</v>
      </c>
      <c r="N67" s="12">
        <v>0</v>
      </c>
      <c r="O67" s="12">
        <v>0</v>
      </c>
      <c r="P67" s="2">
        <v>61000</v>
      </c>
      <c r="Q67" s="12">
        <v>9317</v>
      </c>
      <c r="R67" s="12">
        <v>0</v>
      </c>
      <c r="S67" s="12">
        <v>0</v>
      </c>
      <c r="T67" s="13">
        <v>0</v>
      </c>
      <c r="U67" s="12">
        <f t="shared" si="0"/>
        <v>0</v>
      </c>
    </row>
    <row r="68" spans="1:21" ht="15.75" customHeight="1" x14ac:dyDescent="0.25">
      <c r="A68" s="26" t="s">
        <v>341</v>
      </c>
      <c r="B68" s="26" t="s">
        <v>405</v>
      </c>
      <c r="C68" s="27" t="s">
        <v>28</v>
      </c>
      <c r="D68" s="27" t="s">
        <v>330</v>
      </c>
      <c r="E68" s="27" t="s">
        <v>241</v>
      </c>
      <c r="F68" t="s">
        <v>330</v>
      </c>
      <c r="G68" s="3" t="s">
        <v>151</v>
      </c>
      <c r="H68" s="28">
        <v>100000</v>
      </c>
      <c r="I68" s="13">
        <v>0</v>
      </c>
      <c r="J68" s="13">
        <v>0</v>
      </c>
      <c r="K68" s="13">
        <v>0</v>
      </c>
      <c r="L68" s="13">
        <v>0</v>
      </c>
      <c r="M68" s="12">
        <v>40192</v>
      </c>
      <c r="N68" s="12">
        <v>0</v>
      </c>
      <c r="O68" s="12">
        <v>0</v>
      </c>
      <c r="P68" s="2">
        <v>50875</v>
      </c>
      <c r="Q68" s="12">
        <v>8933</v>
      </c>
      <c r="R68" s="12">
        <v>0</v>
      </c>
      <c r="S68" s="12">
        <v>0</v>
      </c>
      <c r="T68" s="13">
        <v>0</v>
      </c>
      <c r="U68" s="12">
        <f t="shared" si="0"/>
        <v>0</v>
      </c>
    </row>
    <row r="69" spans="1:21" ht="15.75" customHeight="1" x14ac:dyDescent="0.25">
      <c r="A69" s="26" t="s">
        <v>341</v>
      </c>
      <c r="B69" s="26" t="s">
        <v>406</v>
      </c>
      <c r="C69" s="27" t="s">
        <v>167</v>
      </c>
      <c r="D69" s="27" t="s">
        <v>330</v>
      </c>
      <c r="E69" s="27" t="s">
        <v>241</v>
      </c>
      <c r="F69" t="s">
        <v>330</v>
      </c>
      <c r="G69" s="3" t="s">
        <v>151</v>
      </c>
      <c r="H69" s="28">
        <v>100000</v>
      </c>
      <c r="I69" s="13">
        <v>0</v>
      </c>
      <c r="J69" s="13">
        <v>0</v>
      </c>
      <c r="K69" s="13">
        <v>0</v>
      </c>
      <c r="L69" s="13">
        <v>0</v>
      </c>
      <c r="M69" s="12">
        <v>16595</v>
      </c>
      <c r="N69" s="12">
        <v>0</v>
      </c>
      <c r="O69" s="2">
        <v>83405</v>
      </c>
      <c r="P69" s="12">
        <v>0</v>
      </c>
      <c r="Q69" s="12">
        <v>0</v>
      </c>
      <c r="R69" s="12">
        <v>0</v>
      </c>
      <c r="S69" s="12">
        <v>0</v>
      </c>
      <c r="T69" s="13">
        <v>0</v>
      </c>
      <c r="U69" s="12">
        <f t="shared" si="0"/>
        <v>0</v>
      </c>
    </row>
    <row r="70" spans="1:21" ht="15.75" customHeight="1" x14ac:dyDescent="0.25">
      <c r="A70" s="26" t="s">
        <v>341</v>
      </c>
      <c r="B70" s="26" t="s">
        <v>407</v>
      </c>
      <c r="C70" s="27" t="s">
        <v>29</v>
      </c>
      <c r="D70" s="27" t="s">
        <v>330</v>
      </c>
      <c r="E70" s="27" t="s">
        <v>241</v>
      </c>
      <c r="F70" t="s">
        <v>330</v>
      </c>
      <c r="G70" s="3" t="s">
        <v>151</v>
      </c>
      <c r="H70" s="28">
        <v>100000</v>
      </c>
      <c r="I70" s="13">
        <v>0</v>
      </c>
      <c r="J70" s="13">
        <v>0</v>
      </c>
      <c r="K70" s="13">
        <v>0</v>
      </c>
      <c r="L70" s="13">
        <v>0</v>
      </c>
      <c r="M70" s="12">
        <v>8852</v>
      </c>
      <c r="N70" s="12">
        <v>0</v>
      </c>
      <c r="O70" s="12">
        <v>0</v>
      </c>
      <c r="P70" s="2">
        <v>43726</v>
      </c>
      <c r="Q70" s="12">
        <v>11530</v>
      </c>
      <c r="R70" s="2">
        <v>35892</v>
      </c>
      <c r="S70" s="12">
        <v>0</v>
      </c>
      <c r="T70" s="13">
        <v>0</v>
      </c>
      <c r="U70" s="12">
        <f t="shared" ref="U70:U133" si="1">H70-(I70+J70+K70+L70+M70+N70+O70+P70+Q70+R70+S70+T70)</f>
        <v>0</v>
      </c>
    </row>
    <row r="71" spans="1:21" ht="15.75" customHeight="1" x14ac:dyDescent="0.25">
      <c r="A71" s="26" t="s">
        <v>341</v>
      </c>
      <c r="B71" s="26" t="s">
        <v>408</v>
      </c>
      <c r="C71" s="27" t="s">
        <v>30</v>
      </c>
      <c r="D71" s="27" t="s">
        <v>330</v>
      </c>
      <c r="E71" s="27" t="s">
        <v>241</v>
      </c>
      <c r="F71" t="s">
        <v>330</v>
      </c>
      <c r="G71" s="3" t="s">
        <v>168</v>
      </c>
      <c r="H71" s="28">
        <v>100000</v>
      </c>
      <c r="I71" s="13">
        <v>0</v>
      </c>
      <c r="J71" s="13">
        <v>0</v>
      </c>
      <c r="K71" s="13">
        <v>0</v>
      </c>
      <c r="L71" s="13">
        <v>0</v>
      </c>
      <c r="M71" s="12">
        <v>29683</v>
      </c>
      <c r="N71" s="12">
        <v>0</v>
      </c>
      <c r="O71" s="12">
        <v>0</v>
      </c>
      <c r="P71" s="2">
        <v>33349</v>
      </c>
      <c r="Q71" s="12">
        <v>36968</v>
      </c>
      <c r="R71" s="12">
        <v>0</v>
      </c>
      <c r="S71" s="12">
        <v>0</v>
      </c>
      <c r="T71" s="13">
        <v>0</v>
      </c>
      <c r="U71" s="12">
        <f t="shared" si="1"/>
        <v>0</v>
      </c>
    </row>
    <row r="72" spans="1:21" ht="15.75" customHeight="1" x14ac:dyDescent="0.25">
      <c r="A72" s="26" t="s">
        <v>341</v>
      </c>
      <c r="B72" s="26" t="s">
        <v>409</v>
      </c>
      <c r="C72" s="27" t="s">
        <v>31</v>
      </c>
      <c r="D72" s="27" t="s">
        <v>330</v>
      </c>
      <c r="E72" s="27" t="s">
        <v>241</v>
      </c>
      <c r="F72" t="s">
        <v>330</v>
      </c>
      <c r="G72" s="3" t="s">
        <v>168</v>
      </c>
      <c r="H72" s="28">
        <v>100000</v>
      </c>
      <c r="I72" s="13">
        <v>0</v>
      </c>
      <c r="J72" s="13">
        <v>0</v>
      </c>
      <c r="K72" s="13">
        <v>0</v>
      </c>
      <c r="L72" s="13">
        <v>0</v>
      </c>
      <c r="M72" s="12">
        <v>40192</v>
      </c>
      <c r="N72" s="12">
        <v>0</v>
      </c>
      <c r="O72" s="2">
        <v>27034</v>
      </c>
      <c r="P72" s="12">
        <v>0</v>
      </c>
      <c r="Q72" s="12">
        <v>32774</v>
      </c>
      <c r="R72" s="12">
        <v>0</v>
      </c>
      <c r="S72" s="12">
        <v>0</v>
      </c>
      <c r="T72" s="13">
        <v>0</v>
      </c>
      <c r="U72" s="12">
        <f t="shared" si="1"/>
        <v>0</v>
      </c>
    </row>
    <row r="73" spans="1:21" ht="15.75" customHeight="1" x14ac:dyDescent="0.25">
      <c r="A73" s="26" t="s">
        <v>341</v>
      </c>
      <c r="B73" s="26" t="s">
        <v>410</v>
      </c>
      <c r="C73" s="27" t="s">
        <v>32</v>
      </c>
      <c r="D73" s="27" t="s">
        <v>330</v>
      </c>
      <c r="E73" s="27" t="s">
        <v>241</v>
      </c>
      <c r="F73" t="s">
        <v>330</v>
      </c>
      <c r="G73" s="3" t="s">
        <v>168</v>
      </c>
      <c r="H73" s="28">
        <v>100000</v>
      </c>
      <c r="I73" s="13">
        <v>0</v>
      </c>
      <c r="J73" s="13">
        <v>0</v>
      </c>
      <c r="K73" s="13">
        <v>0</v>
      </c>
      <c r="L73" s="13">
        <v>0</v>
      </c>
      <c r="M73" s="12">
        <v>16595</v>
      </c>
      <c r="N73" s="12">
        <v>0</v>
      </c>
      <c r="O73" s="12">
        <v>0</v>
      </c>
      <c r="P73" s="2">
        <v>33349</v>
      </c>
      <c r="Q73" s="12">
        <v>0</v>
      </c>
      <c r="R73" s="2">
        <v>50056</v>
      </c>
      <c r="S73" s="12">
        <v>0</v>
      </c>
      <c r="T73" s="13">
        <v>0</v>
      </c>
      <c r="U73" s="12">
        <f t="shared" si="1"/>
        <v>0</v>
      </c>
    </row>
    <row r="74" spans="1:21" ht="15.75" customHeight="1" x14ac:dyDescent="0.25">
      <c r="A74" s="26" t="s">
        <v>341</v>
      </c>
      <c r="B74" s="26" t="s">
        <v>411</v>
      </c>
      <c r="C74" s="27" t="s">
        <v>33</v>
      </c>
      <c r="D74" s="27" t="s">
        <v>330</v>
      </c>
      <c r="E74" s="27" t="s">
        <v>241</v>
      </c>
      <c r="F74" s="27" t="s">
        <v>330</v>
      </c>
      <c r="G74" s="3" t="s">
        <v>152</v>
      </c>
      <c r="H74" s="28">
        <v>50000</v>
      </c>
      <c r="I74" s="13">
        <v>0</v>
      </c>
      <c r="J74" s="13">
        <v>0</v>
      </c>
      <c r="K74" s="13">
        <v>0</v>
      </c>
      <c r="L74" s="13">
        <v>0</v>
      </c>
      <c r="M74" s="2">
        <v>29683</v>
      </c>
      <c r="N74" s="12">
        <v>0</v>
      </c>
      <c r="O74" s="12">
        <v>0</v>
      </c>
      <c r="P74" s="2">
        <v>11773</v>
      </c>
      <c r="Q74" s="12">
        <v>0</v>
      </c>
      <c r="R74" s="12">
        <v>0</v>
      </c>
      <c r="S74" s="2">
        <v>8544</v>
      </c>
      <c r="T74" s="13">
        <v>0</v>
      </c>
      <c r="U74" s="12">
        <f t="shared" si="1"/>
        <v>0</v>
      </c>
    </row>
    <row r="75" spans="1:21" ht="15.75" customHeight="1" x14ac:dyDescent="0.25">
      <c r="A75" s="26" t="s">
        <v>341</v>
      </c>
      <c r="B75" s="26" t="s">
        <v>412</v>
      </c>
      <c r="C75" s="27" t="s">
        <v>34</v>
      </c>
      <c r="D75" s="27" t="s">
        <v>330</v>
      </c>
      <c r="E75" s="27" t="s">
        <v>241</v>
      </c>
      <c r="F75" s="27" t="s">
        <v>330</v>
      </c>
      <c r="G75" s="3" t="s">
        <v>152</v>
      </c>
      <c r="H75" s="28">
        <v>50000</v>
      </c>
      <c r="I75" s="13">
        <v>0</v>
      </c>
      <c r="J75" s="13">
        <v>0</v>
      </c>
      <c r="K75" s="13">
        <v>0</v>
      </c>
      <c r="L75" s="13">
        <v>0</v>
      </c>
      <c r="M75" s="2">
        <v>40192</v>
      </c>
      <c r="N75" s="2">
        <v>818</v>
      </c>
      <c r="O75" s="12">
        <v>0</v>
      </c>
      <c r="P75" s="2">
        <v>4033</v>
      </c>
      <c r="Q75" s="12">
        <v>0</v>
      </c>
      <c r="R75" s="2">
        <v>4957</v>
      </c>
      <c r="S75" s="12">
        <v>0</v>
      </c>
      <c r="T75" s="13">
        <v>0</v>
      </c>
      <c r="U75" s="12">
        <f t="shared" si="1"/>
        <v>0</v>
      </c>
    </row>
    <row r="76" spans="1:21" ht="15.75" customHeight="1" x14ac:dyDescent="0.25">
      <c r="A76" s="26" t="s">
        <v>341</v>
      </c>
      <c r="B76" s="26" t="s">
        <v>413</v>
      </c>
      <c r="C76" s="27" t="s">
        <v>169</v>
      </c>
      <c r="D76" s="27" t="s">
        <v>330</v>
      </c>
      <c r="E76" s="27" t="s">
        <v>241</v>
      </c>
      <c r="F76" s="27" t="s">
        <v>330</v>
      </c>
      <c r="G76" s="3" t="s">
        <v>152</v>
      </c>
      <c r="H76" s="28">
        <v>50000</v>
      </c>
      <c r="I76" s="13">
        <v>0</v>
      </c>
      <c r="J76" s="13">
        <v>0</v>
      </c>
      <c r="K76" s="13">
        <v>0</v>
      </c>
      <c r="L76" s="13">
        <v>0</v>
      </c>
      <c r="M76" s="2">
        <v>16595</v>
      </c>
      <c r="N76" s="12">
        <v>0</v>
      </c>
      <c r="O76" s="2">
        <v>9352</v>
      </c>
      <c r="P76" s="2">
        <v>9816</v>
      </c>
      <c r="Q76" s="12">
        <v>0</v>
      </c>
      <c r="R76" s="2">
        <v>14237</v>
      </c>
      <c r="S76" s="12">
        <v>0</v>
      </c>
      <c r="T76" s="13">
        <v>0</v>
      </c>
      <c r="U76" s="12">
        <f t="shared" si="1"/>
        <v>0</v>
      </c>
    </row>
    <row r="77" spans="1:21" ht="15.75" customHeight="1" x14ac:dyDescent="0.25">
      <c r="A77" s="26" t="s">
        <v>341</v>
      </c>
      <c r="B77" s="26" t="s">
        <v>414</v>
      </c>
      <c r="C77" s="27" t="s">
        <v>37</v>
      </c>
      <c r="D77" s="27" t="s">
        <v>330</v>
      </c>
      <c r="E77" s="27" t="s">
        <v>241</v>
      </c>
      <c r="F77" s="27" t="s">
        <v>330</v>
      </c>
      <c r="G77" s="3" t="s">
        <v>152</v>
      </c>
      <c r="H77" s="28">
        <v>50000</v>
      </c>
      <c r="I77" s="13">
        <v>0</v>
      </c>
      <c r="J77" s="13">
        <v>0</v>
      </c>
      <c r="K77" s="13">
        <v>0</v>
      </c>
      <c r="L77" s="13">
        <v>0</v>
      </c>
      <c r="M77" s="2">
        <v>50000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3">
        <v>0</v>
      </c>
      <c r="U77" s="12">
        <f t="shared" si="1"/>
        <v>0</v>
      </c>
    </row>
    <row r="78" spans="1:21" ht="15.75" customHeight="1" x14ac:dyDescent="0.25">
      <c r="A78" s="26" t="s">
        <v>341</v>
      </c>
      <c r="B78" s="26" t="s">
        <v>415</v>
      </c>
      <c r="C78" s="27" t="s">
        <v>35</v>
      </c>
      <c r="D78" s="27" t="s">
        <v>330</v>
      </c>
      <c r="E78" s="27" t="s">
        <v>241</v>
      </c>
      <c r="F78" s="27" t="s">
        <v>330</v>
      </c>
      <c r="G78" s="3" t="s">
        <v>153</v>
      </c>
      <c r="H78" s="28">
        <v>50000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2">
        <v>22760</v>
      </c>
      <c r="O78" s="12">
        <v>0</v>
      </c>
      <c r="P78" s="2">
        <v>27240</v>
      </c>
      <c r="Q78" s="12">
        <v>0</v>
      </c>
      <c r="R78" s="12">
        <v>0</v>
      </c>
      <c r="S78" s="12">
        <v>0</v>
      </c>
      <c r="T78" s="13">
        <v>0</v>
      </c>
      <c r="U78" s="12">
        <f t="shared" si="1"/>
        <v>0</v>
      </c>
    </row>
    <row r="79" spans="1:21" ht="15.75" customHeight="1" x14ac:dyDescent="0.25">
      <c r="A79" s="26" t="s">
        <v>341</v>
      </c>
      <c r="B79" s="26" t="s">
        <v>416</v>
      </c>
      <c r="C79" s="27" t="s">
        <v>36</v>
      </c>
      <c r="D79" s="27" t="s">
        <v>330</v>
      </c>
      <c r="E79" s="27" t="s">
        <v>241</v>
      </c>
      <c r="F79" s="27" t="s">
        <v>330</v>
      </c>
      <c r="G79" s="3" t="s">
        <v>153</v>
      </c>
      <c r="H79" s="28">
        <v>50000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2">
        <v>32760</v>
      </c>
      <c r="O79" s="12">
        <v>0</v>
      </c>
      <c r="P79" s="2">
        <v>17240</v>
      </c>
      <c r="Q79" s="12">
        <v>0</v>
      </c>
      <c r="R79" s="12">
        <v>0</v>
      </c>
      <c r="S79" s="12">
        <v>0</v>
      </c>
      <c r="T79" s="13">
        <v>0</v>
      </c>
      <c r="U79" s="12">
        <f t="shared" si="1"/>
        <v>0</v>
      </c>
    </row>
    <row r="80" spans="1:21" ht="15.75" customHeight="1" x14ac:dyDescent="0.25">
      <c r="A80" s="26" t="s">
        <v>341</v>
      </c>
      <c r="B80" s="26" t="s">
        <v>417</v>
      </c>
      <c r="C80" s="27" t="s">
        <v>155</v>
      </c>
      <c r="D80" s="27" t="s">
        <v>330</v>
      </c>
      <c r="E80" s="27" t="s">
        <v>241</v>
      </c>
      <c r="F80" s="27" t="s">
        <v>330</v>
      </c>
      <c r="G80" s="3" t="s">
        <v>154</v>
      </c>
      <c r="H80" s="28">
        <v>75000</v>
      </c>
      <c r="I80" s="13">
        <v>0</v>
      </c>
      <c r="J80" s="13">
        <v>0</v>
      </c>
      <c r="K80" s="3">
        <v>24643</v>
      </c>
      <c r="L80" s="13">
        <v>0</v>
      </c>
      <c r="M80" s="13">
        <v>0</v>
      </c>
      <c r="N80" s="12">
        <v>0</v>
      </c>
      <c r="O80" s="2">
        <v>20000</v>
      </c>
      <c r="P80" s="2">
        <v>30357</v>
      </c>
      <c r="Q80" s="12">
        <v>0</v>
      </c>
      <c r="R80" s="12">
        <v>0</v>
      </c>
      <c r="S80" s="12">
        <v>0</v>
      </c>
      <c r="T80" s="13">
        <v>0</v>
      </c>
      <c r="U80" s="12">
        <f t="shared" si="1"/>
        <v>0</v>
      </c>
    </row>
    <row r="81" spans="1:21" ht="15.75" customHeight="1" x14ac:dyDescent="0.25">
      <c r="A81" s="26" t="s">
        <v>341</v>
      </c>
      <c r="B81" s="26" t="s">
        <v>418</v>
      </c>
      <c r="C81" s="27" t="s">
        <v>208</v>
      </c>
      <c r="D81" s="27" t="s">
        <v>330</v>
      </c>
      <c r="E81" s="27" t="s">
        <v>241</v>
      </c>
      <c r="F81" s="27" t="s">
        <v>330</v>
      </c>
      <c r="G81" s="3" t="s">
        <v>154</v>
      </c>
      <c r="H81" s="28">
        <v>100000</v>
      </c>
      <c r="I81" s="13">
        <v>0</v>
      </c>
      <c r="J81" s="13">
        <v>0</v>
      </c>
      <c r="K81" s="13">
        <v>0</v>
      </c>
      <c r="L81" s="13">
        <v>0</v>
      </c>
      <c r="M81" s="2">
        <v>40000</v>
      </c>
      <c r="N81" s="2">
        <v>15000</v>
      </c>
      <c r="O81" s="2">
        <v>25000</v>
      </c>
      <c r="P81" s="12">
        <v>0</v>
      </c>
      <c r="Q81" s="12">
        <v>0</v>
      </c>
      <c r="R81" s="12">
        <v>0</v>
      </c>
      <c r="S81" s="12">
        <v>0</v>
      </c>
      <c r="T81" s="13">
        <v>0</v>
      </c>
      <c r="U81" s="12">
        <f t="shared" si="1"/>
        <v>20000</v>
      </c>
    </row>
    <row r="82" spans="1:21" ht="15.75" customHeight="1" x14ac:dyDescent="0.25">
      <c r="A82" s="26" t="s">
        <v>341</v>
      </c>
      <c r="B82" s="26" t="s">
        <v>419</v>
      </c>
      <c r="C82" s="27" t="s">
        <v>38</v>
      </c>
      <c r="D82" s="27" t="s">
        <v>330</v>
      </c>
      <c r="E82" s="27" t="s">
        <v>241</v>
      </c>
      <c r="F82" s="27" t="s">
        <v>330</v>
      </c>
      <c r="G82" s="3" t="s">
        <v>154</v>
      </c>
      <c r="H82" s="28">
        <v>100000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2">
        <v>27000</v>
      </c>
      <c r="O82" s="12">
        <v>0</v>
      </c>
      <c r="P82" s="12">
        <v>0</v>
      </c>
      <c r="Q82" s="12">
        <v>23000</v>
      </c>
      <c r="R82" s="12">
        <v>0</v>
      </c>
      <c r="S82" s="12">
        <v>0</v>
      </c>
      <c r="T82" s="13">
        <v>0</v>
      </c>
      <c r="U82" s="12">
        <f t="shared" si="1"/>
        <v>50000</v>
      </c>
    </row>
    <row r="83" spans="1:21" ht="15.75" customHeight="1" x14ac:dyDescent="0.25">
      <c r="A83" s="26" t="s">
        <v>341</v>
      </c>
      <c r="B83" s="26" t="s">
        <v>420</v>
      </c>
      <c r="C83" s="27" t="s">
        <v>39</v>
      </c>
      <c r="D83" s="27" t="s">
        <v>330</v>
      </c>
      <c r="E83" s="27" t="s">
        <v>241</v>
      </c>
      <c r="F83" s="27" t="s">
        <v>331</v>
      </c>
      <c r="G83" s="3" t="s">
        <v>156</v>
      </c>
      <c r="H83" s="28">
        <v>100000</v>
      </c>
      <c r="I83" s="13">
        <v>0</v>
      </c>
      <c r="J83" s="13">
        <v>0</v>
      </c>
      <c r="K83" s="13">
        <v>0</v>
      </c>
      <c r="L83" s="13">
        <v>0</v>
      </c>
      <c r="M83" s="13">
        <v>0</v>
      </c>
      <c r="N83" s="12">
        <v>0</v>
      </c>
      <c r="O83" s="12">
        <v>0</v>
      </c>
      <c r="P83" s="12">
        <v>0</v>
      </c>
      <c r="Q83" s="12">
        <v>0</v>
      </c>
      <c r="R83" s="2">
        <v>1919</v>
      </c>
      <c r="S83" s="12">
        <v>0</v>
      </c>
      <c r="T83" s="13">
        <v>0</v>
      </c>
      <c r="U83" s="12">
        <f t="shared" si="1"/>
        <v>98081</v>
      </c>
    </row>
    <row r="84" spans="1:21" ht="15.75" customHeight="1" x14ac:dyDescent="0.25">
      <c r="A84" s="26" t="s">
        <v>341</v>
      </c>
      <c r="B84" s="26" t="s">
        <v>421</v>
      </c>
      <c r="C84" s="27" t="s">
        <v>40</v>
      </c>
      <c r="D84" s="27" t="s">
        <v>330</v>
      </c>
      <c r="E84" s="27" t="s">
        <v>241</v>
      </c>
      <c r="F84" s="27" t="s">
        <v>331</v>
      </c>
      <c r="G84" s="3" t="s">
        <v>156</v>
      </c>
      <c r="H84" s="28">
        <v>100000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3">
        <v>0</v>
      </c>
      <c r="U84" s="12">
        <f t="shared" si="1"/>
        <v>100000</v>
      </c>
    </row>
    <row r="85" spans="1:21" ht="15.75" customHeight="1" x14ac:dyDescent="0.25">
      <c r="A85" s="26" t="s">
        <v>341</v>
      </c>
      <c r="B85" s="26" t="s">
        <v>422</v>
      </c>
      <c r="C85" s="27" t="s">
        <v>41</v>
      </c>
      <c r="D85" s="27" t="s">
        <v>330</v>
      </c>
      <c r="E85" s="27" t="s">
        <v>241</v>
      </c>
      <c r="F85" s="27" t="s">
        <v>331</v>
      </c>
      <c r="G85" s="3" t="s">
        <v>156</v>
      </c>
      <c r="H85" s="28">
        <v>100000</v>
      </c>
      <c r="I85" s="13">
        <v>0</v>
      </c>
      <c r="J85" s="13">
        <v>0</v>
      </c>
      <c r="K85" s="13">
        <v>0</v>
      </c>
      <c r="L85" s="13">
        <v>0</v>
      </c>
      <c r="M85" s="13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3">
        <v>0</v>
      </c>
      <c r="U85" s="12">
        <f t="shared" si="1"/>
        <v>100000</v>
      </c>
    </row>
    <row r="86" spans="1:21" ht="15.75" customHeight="1" x14ac:dyDescent="0.25">
      <c r="A86" s="26" t="s">
        <v>341</v>
      </c>
      <c r="B86" s="26" t="s">
        <v>423</v>
      </c>
      <c r="C86" s="27" t="s">
        <v>209</v>
      </c>
      <c r="D86" s="27" t="s">
        <v>330</v>
      </c>
      <c r="E86" s="27" t="s">
        <v>241</v>
      </c>
      <c r="F86" s="27" t="s">
        <v>331</v>
      </c>
      <c r="G86" s="3" t="s">
        <v>156</v>
      </c>
      <c r="H86" s="28">
        <v>100000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2">
        <v>100000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3">
        <v>0</v>
      </c>
      <c r="U86" s="12">
        <f t="shared" si="1"/>
        <v>0</v>
      </c>
    </row>
    <row r="87" spans="1:21" ht="15.75" customHeight="1" x14ac:dyDescent="0.25">
      <c r="A87" s="26" t="s">
        <v>341</v>
      </c>
      <c r="B87" s="26" t="s">
        <v>424</v>
      </c>
      <c r="C87" s="27" t="s">
        <v>210</v>
      </c>
      <c r="D87" s="27" t="s">
        <v>330</v>
      </c>
      <c r="E87" s="27" t="s">
        <v>241</v>
      </c>
      <c r="F87" s="27" t="s">
        <v>331</v>
      </c>
      <c r="G87" s="3" t="s">
        <v>156</v>
      </c>
      <c r="H87" s="28">
        <v>100000</v>
      </c>
      <c r="I87" s="13">
        <v>0</v>
      </c>
      <c r="J87" s="13">
        <v>0</v>
      </c>
      <c r="K87" s="13">
        <v>0</v>
      </c>
      <c r="L87" s="13">
        <v>0</v>
      </c>
      <c r="M87" s="13">
        <v>0</v>
      </c>
      <c r="N87" s="2">
        <v>100000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3">
        <v>0</v>
      </c>
      <c r="U87" s="12">
        <f t="shared" si="1"/>
        <v>0</v>
      </c>
    </row>
    <row r="88" spans="1:21" ht="15.75" customHeight="1" x14ac:dyDescent="0.25">
      <c r="A88" s="26" t="s">
        <v>341</v>
      </c>
      <c r="B88" s="26" t="s">
        <v>425</v>
      </c>
      <c r="C88" s="27" t="s">
        <v>42</v>
      </c>
      <c r="D88" s="27" t="s">
        <v>330</v>
      </c>
      <c r="E88" s="27" t="s">
        <v>241</v>
      </c>
      <c r="F88" s="27" t="s">
        <v>331</v>
      </c>
      <c r="G88" s="3" t="s">
        <v>156</v>
      </c>
      <c r="H88" s="28">
        <v>100000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2">
        <v>0</v>
      </c>
      <c r="O88" s="12">
        <v>0</v>
      </c>
      <c r="P88" s="2">
        <v>100000</v>
      </c>
      <c r="Q88" s="12">
        <v>0</v>
      </c>
      <c r="R88" s="12">
        <v>0</v>
      </c>
      <c r="S88" s="12">
        <v>0</v>
      </c>
      <c r="T88" s="13">
        <v>0</v>
      </c>
      <c r="U88" s="12">
        <f t="shared" si="1"/>
        <v>0</v>
      </c>
    </row>
    <row r="89" spans="1:21" ht="15.75" customHeight="1" x14ac:dyDescent="0.25">
      <c r="A89" s="26" t="s">
        <v>341</v>
      </c>
      <c r="B89" s="26" t="s">
        <v>426</v>
      </c>
      <c r="C89" s="27" t="s">
        <v>322</v>
      </c>
      <c r="D89" s="27" t="s">
        <v>330</v>
      </c>
      <c r="E89" s="27" t="s">
        <v>241</v>
      </c>
      <c r="F89" s="27" t="s">
        <v>331</v>
      </c>
      <c r="G89" s="3" t="s">
        <v>156</v>
      </c>
      <c r="H89" s="28">
        <v>100000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2">
        <v>0</v>
      </c>
      <c r="O89" s="12">
        <v>0</v>
      </c>
      <c r="P89" s="2">
        <v>100000</v>
      </c>
      <c r="Q89" s="12">
        <v>0</v>
      </c>
      <c r="R89" s="12">
        <v>0</v>
      </c>
      <c r="S89" s="12">
        <v>0</v>
      </c>
      <c r="T89" s="13">
        <v>0</v>
      </c>
      <c r="U89" s="12">
        <f t="shared" si="1"/>
        <v>0</v>
      </c>
    </row>
    <row r="90" spans="1:21" ht="15.75" customHeight="1" x14ac:dyDescent="0.25">
      <c r="A90" s="26" t="s">
        <v>341</v>
      </c>
      <c r="B90" s="26" t="s">
        <v>427</v>
      </c>
      <c r="C90" s="27" t="s">
        <v>211</v>
      </c>
      <c r="D90" s="27" t="s">
        <v>330</v>
      </c>
      <c r="E90" s="27" t="s">
        <v>241</v>
      </c>
      <c r="F90" s="27" t="s">
        <v>330</v>
      </c>
      <c r="G90" s="3" t="s">
        <v>159</v>
      </c>
      <c r="H90" s="28">
        <v>100000</v>
      </c>
      <c r="I90" s="13">
        <v>0</v>
      </c>
      <c r="J90" s="2">
        <v>4463</v>
      </c>
      <c r="K90" s="13">
        <v>0</v>
      </c>
      <c r="L90" s="13">
        <v>0</v>
      </c>
      <c r="M90" s="13">
        <v>0</v>
      </c>
      <c r="N90" s="2">
        <v>4463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3">
        <v>0</v>
      </c>
      <c r="U90" s="12">
        <f t="shared" si="1"/>
        <v>91074</v>
      </c>
    </row>
    <row r="91" spans="1:21" ht="15.75" customHeight="1" x14ac:dyDescent="0.25">
      <c r="A91" s="26" t="s">
        <v>341</v>
      </c>
      <c r="B91" s="26" t="s">
        <v>428</v>
      </c>
      <c r="C91" s="27" t="s">
        <v>43</v>
      </c>
      <c r="D91" s="27" t="s">
        <v>331</v>
      </c>
      <c r="E91" s="27" t="s">
        <v>331</v>
      </c>
      <c r="F91" s="27" t="s">
        <v>331</v>
      </c>
      <c r="G91" s="3" t="s">
        <v>156</v>
      </c>
      <c r="H91" s="28">
        <v>100000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2">
        <v>0</v>
      </c>
      <c r="O91" s="12">
        <v>0</v>
      </c>
      <c r="P91" s="12">
        <v>0</v>
      </c>
      <c r="Q91" s="12">
        <v>100000</v>
      </c>
      <c r="R91" s="12">
        <v>0</v>
      </c>
      <c r="S91" s="12">
        <v>0</v>
      </c>
      <c r="T91" s="13">
        <v>0</v>
      </c>
      <c r="U91" s="12">
        <f t="shared" si="1"/>
        <v>0</v>
      </c>
    </row>
    <row r="92" spans="1:21" ht="15.75" customHeight="1" x14ac:dyDescent="0.25">
      <c r="A92" s="26" t="s">
        <v>341</v>
      </c>
      <c r="B92" s="26" t="s">
        <v>429</v>
      </c>
      <c r="C92" s="27" t="s">
        <v>212</v>
      </c>
      <c r="D92" s="27" t="s">
        <v>331</v>
      </c>
      <c r="E92" s="27" t="s">
        <v>331</v>
      </c>
      <c r="F92" s="27" t="s">
        <v>331</v>
      </c>
      <c r="G92" s="3" t="s">
        <v>156</v>
      </c>
      <c r="H92" s="28">
        <v>100000</v>
      </c>
      <c r="I92" s="13">
        <v>0</v>
      </c>
      <c r="J92" s="13">
        <v>0</v>
      </c>
      <c r="K92" s="13">
        <v>0</v>
      </c>
      <c r="L92" s="13">
        <v>0</v>
      </c>
      <c r="M92" s="3">
        <v>100000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3">
        <v>0</v>
      </c>
      <c r="U92" s="12">
        <f t="shared" si="1"/>
        <v>0</v>
      </c>
    </row>
    <row r="93" spans="1:21" ht="15.75" customHeight="1" x14ac:dyDescent="0.25">
      <c r="A93" s="26" t="s">
        <v>341</v>
      </c>
      <c r="B93" s="26" t="s">
        <v>430</v>
      </c>
      <c r="C93" s="27" t="s">
        <v>323</v>
      </c>
      <c r="D93" s="27" t="s">
        <v>331</v>
      </c>
      <c r="E93" s="27" t="s">
        <v>331</v>
      </c>
      <c r="F93" s="27" t="s">
        <v>331</v>
      </c>
      <c r="G93" s="3" t="s">
        <v>156</v>
      </c>
      <c r="H93" s="28">
        <v>100000</v>
      </c>
      <c r="I93" s="13">
        <v>0</v>
      </c>
      <c r="J93" s="13">
        <v>0</v>
      </c>
      <c r="K93" s="3">
        <v>96472</v>
      </c>
      <c r="L93" s="13">
        <v>0</v>
      </c>
      <c r="M93" s="13">
        <v>0</v>
      </c>
      <c r="N93" s="12">
        <v>0</v>
      </c>
      <c r="O93" s="12">
        <v>0</v>
      </c>
      <c r="P93" s="12">
        <v>0</v>
      </c>
      <c r="Q93" s="13">
        <v>3528</v>
      </c>
      <c r="R93" s="12">
        <v>0</v>
      </c>
      <c r="S93" s="12">
        <v>0</v>
      </c>
      <c r="T93" s="13">
        <v>0</v>
      </c>
      <c r="U93" s="12">
        <f t="shared" si="1"/>
        <v>0</v>
      </c>
    </row>
    <row r="94" spans="1:21" ht="15.75" customHeight="1" x14ac:dyDescent="0.25">
      <c r="A94" s="26" t="s">
        <v>341</v>
      </c>
      <c r="B94" s="26" t="s">
        <v>431</v>
      </c>
      <c r="C94" s="27" t="s">
        <v>44</v>
      </c>
      <c r="D94" s="27" t="s">
        <v>331</v>
      </c>
      <c r="E94" s="27" t="s">
        <v>331</v>
      </c>
      <c r="F94" s="27" t="s">
        <v>331</v>
      </c>
      <c r="G94" s="3" t="s">
        <v>156</v>
      </c>
      <c r="H94" s="28">
        <v>100000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2">
        <v>0</v>
      </c>
      <c r="O94" s="12">
        <v>0</v>
      </c>
      <c r="P94" s="12">
        <v>0</v>
      </c>
      <c r="Q94" s="12">
        <v>100000</v>
      </c>
      <c r="R94" s="12">
        <v>0</v>
      </c>
      <c r="S94" s="12">
        <v>0</v>
      </c>
      <c r="T94" s="13">
        <v>0</v>
      </c>
      <c r="U94" s="12">
        <f t="shared" si="1"/>
        <v>0</v>
      </c>
    </row>
    <row r="95" spans="1:21" ht="15.75" customHeight="1" x14ac:dyDescent="0.25">
      <c r="A95" s="26" t="s">
        <v>341</v>
      </c>
      <c r="B95" s="26" t="s">
        <v>432</v>
      </c>
      <c r="C95" s="27" t="s">
        <v>45</v>
      </c>
      <c r="D95" s="27" t="s">
        <v>331</v>
      </c>
      <c r="E95" s="27" t="s">
        <v>331</v>
      </c>
      <c r="F95" s="27" t="s">
        <v>331</v>
      </c>
      <c r="G95" s="3" t="s">
        <v>156</v>
      </c>
      <c r="H95" s="28">
        <v>100000</v>
      </c>
      <c r="I95" s="13">
        <v>0</v>
      </c>
      <c r="J95" s="13">
        <v>0</v>
      </c>
      <c r="K95" s="13">
        <v>0</v>
      </c>
      <c r="L95" s="13">
        <v>0</v>
      </c>
      <c r="M95" s="13">
        <v>0</v>
      </c>
      <c r="N95" s="12">
        <v>0</v>
      </c>
      <c r="O95" s="12">
        <v>0</v>
      </c>
      <c r="P95" s="12">
        <v>0</v>
      </c>
      <c r="Q95" s="12">
        <v>100000</v>
      </c>
      <c r="R95" s="12">
        <v>0</v>
      </c>
      <c r="S95" s="12">
        <v>0</v>
      </c>
      <c r="T95" s="13">
        <v>0</v>
      </c>
      <c r="U95" s="12">
        <f t="shared" si="1"/>
        <v>0</v>
      </c>
    </row>
    <row r="96" spans="1:21" ht="15.75" customHeight="1" x14ac:dyDescent="0.25">
      <c r="A96" s="26" t="s">
        <v>341</v>
      </c>
      <c r="B96" s="26" t="s">
        <v>433</v>
      </c>
      <c r="C96" s="27" t="s">
        <v>46</v>
      </c>
      <c r="D96" s="27" t="s">
        <v>331</v>
      </c>
      <c r="E96" s="27" t="s">
        <v>331</v>
      </c>
      <c r="F96" s="27" t="s">
        <v>331</v>
      </c>
      <c r="G96" s="3" t="s">
        <v>156</v>
      </c>
      <c r="H96" s="28">
        <v>100000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2">
        <v>0</v>
      </c>
      <c r="O96" s="12">
        <v>0</v>
      </c>
      <c r="P96" s="12">
        <v>0</v>
      </c>
      <c r="Q96" s="12">
        <v>100000</v>
      </c>
      <c r="R96" s="12">
        <v>0</v>
      </c>
      <c r="S96" s="12">
        <v>0</v>
      </c>
      <c r="T96" s="13">
        <v>0</v>
      </c>
      <c r="U96" s="12">
        <f t="shared" si="1"/>
        <v>0</v>
      </c>
    </row>
    <row r="97" spans="1:21" ht="15.75" customHeight="1" x14ac:dyDescent="0.25">
      <c r="A97" s="26" t="s">
        <v>341</v>
      </c>
      <c r="B97" s="26" t="s">
        <v>434</v>
      </c>
      <c r="C97" s="27" t="s">
        <v>314</v>
      </c>
      <c r="D97" s="27" t="s">
        <v>331</v>
      </c>
      <c r="E97" s="27" t="s">
        <v>331</v>
      </c>
      <c r="F97" s="27" t="s">
        <v>331</v>
      </c>
      <c r="G97" s="3" t="s">
        <v>156</v>
      </c>
      <c r="H97" s="28">
        <v>100000</v>
      </c>
      <c r="I97" s="13">
        <v>0</v>
      </c>
      <c r="J97" s="13">
        <v>0</v>
      </c>
      <c r="K97" s="13">
        <v>0</v>
      </c>
      <c r="L97" s="13">
        <v>0</v>
      </c>
      <c r="M97" s="13">
        <v>0</v>
      </c>
      <c r="N97" s="12">
        <v>0</v>
      </c>
      <c r="O97" s="2">
        <v>100000</v>
      </c>
      <c r="P97" s="12">
        <v>0</v>
      </c>
      <c r="Q97" s="12">
        <v>0</v>
      </c>
      <c r="R97" s="12">
        <v>0</v>
      </c>
      <c r="S97" s="12">
        <v>0</v>
      </c>
      <c r="T97" s="13">
        <v>0</v>
      </c>
      <c r="U97" s="12">
        <f t="shared" si="1"/>
        <v>0</v>
      </c>
    </row>
    <row r="98" spans="1:21" ht="15.75" customHeight="1" x14ac:dyDescent="0.25">
      <c r="A98" s="26" t="s">
        <v>341</v>
      </c>
      <c r="B98" s="26" t="s">
        <v>435</v>
      </c>
      <c r="C98" s="27" t="s">
        <v>213</v>
      </c>
      <c r="D98" s="27" t="s">
        <v>331</v>
      </c>
      <c r="E98" s="27" t="s">
        <v>331</v>
      </c>
      <c r="F98" s="27" t="s">
        <v>331</v>
      </c>
      <c r="G98" s="3" t="s">
        <v>156</v>
      </c>
      <c r="H98" s="28">
        <v>100000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2">
        <v>0</v>
      </c>
      <c r="O98" s="2">
        <v>100000</v>
      </c>
      <c r="P98" s="12">
        <v>0</v>
      </c>
      <c r="Q98" s="12">
        <v>0</v>
      </c>
      <c r="R98" s="12">
        <v>0</v>
      </c>
      <c r="S98" s="12">
        <v>0</v>
      </c>
      <c r="T98" s="13">
        <v>0</v>
      </c>
      <c r="U98" s="12">
        <f t="shared" si="1"/>
        <v>0</v>
      </c>
    </row>
    <row r="99" spans="1:21" ht="15.75" customHeight="1" x14ac:dyDescent="0.25">
      <c r="A99" s="26" t="s">
        <v>341</v>
      </c>
      <c r="B99" s="26" t="s">
        <v>436</v>
      </c>
      <c r="C99" s="27" t="s">
        <v>47</v>
      </c>
      <c r="D99" s="27" t="s">
        <v>331</v>
      </c>
      <c r="E99" s="27" t="s">
        <v>331</v>
      </c>
      <c r="F99" s="27" t="s">
        <v>331</v>
      </c>
      <c r="G99" s="3" t="s">
        <v>157</v>
      </c>
      <c r="H99" s="28">
        <v>100000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2">
        <v>50000</v>
      </c>
      <c r="O99" s="2">
        <v>4593</v>
      </c>
      <c r="P99" s="2">
        <v>5000</v>
      </c>
      <c r="Q99" s="12">
        <v>10471</v>
      </c>
      <c r="R99" s="2">
        <v>15000</v>
      </c>
      <c r="S99" s="2">
        <v>14936</v>
      </c>
      <c r="T99" s="13">
        <v>0</v>
      </c>
      <c r="U99" s="12">
        <f t="shared" si="1"/>
        <v>0</v>
      </c>
    </row>
    <row r="100" spans="1:21" ht="15.75" customHeight="1" x14ac:dyDescent="0.25">
      <c r="A100" s="26" t="s">
        <v>341</v>
      </c>
      <c r="B100" s="26" t="s">
        <v>437</v>
      </c>
      <c r="C100" s="27" t="s">
        <v>48</v>
      </c>
      <c r="D100" s="27" t="s">
        <v>331</v>
      </c>
      <c r="E100" s="27" t="s">
        <v>331</v>
      </c>
      <c r="F100" s="27" t="s">
        <v>331</v>
      </c>
      <c r="G100" s="3" t="s">
        <v>157</v>
      </c>
      <c r="H100" s="28">
        <v>100000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2">
        <v>0</v>
      </c>
      <c r="O100" s="12">
        <v>0</v>
      </c>
      <c r="P100" s="12">
        <v>0</v>
      </c>
      <c r="Q100" s="12">
        <v>35667</v>
      </c>
      <c r="R100" s="12">
        <v>0</v>
      </c>
      <c r="S100" s="2">
        <v>64333</v>
      </c>
      <c r="T100" s="13">
        <v>0</v>
      </c>
      <c r="U100" s="12">
        <f t="shared" si="1"/>
        <v>0</v>
      </c>
    </row>
    <row r="101" spans="1:21" ht="15.75" customHeight="1" x14ac:dyDescent="0.25">
      <c r="A101" s="26" t="s">
        <v>341</v>
      </c>
      <c r="B101" s="26" t="s">
        <v>438</v>
      </c>
      <c r="C101" s="27" t="s">
        <v>49</v>
      </c>
      <c r="D101" s="27" t="s">
        <v>331</v>
      </c>
      <c r="E101" s="27" t="s">
        <v>331</v>
      </c>
      <c r="F101" s="27" t="s">
        <v>331</v>
      </c>
      <c r="G101" s="3" t="s">
        <v>157</v>
      </c>
      <c r="H101" s="28">
        <v>100000</v>
      </c>
      <c r="I101" s="13">
        <v>0</v>
      </c>
      <c r="J101" s="13">
        <v>0</v>
      </c>
      <c r="K101" s="13">
        <v>0</v>
      </c>
      <c r="L101" s="13">
        <v>0</v>
      </c>
      <c r="M101" s="13">
        <v>0</v>
      </c>
      <c r="N101" s="12">
        <v>0</v>
      </c>
      <c r="O101" s="12">
        <v>0</v>
      </c>
      <c r="P101" s="12">
        <v>0</v>
      </c>
      <c r="Q101" s="12">
        <v>0</v>
      </c>
      <c r="R101" s="2">
        <v>100000</v>
      </c>
      <c r="S101" s="12">
        <v>0</v>
      </c>
      <c r="T101" s="13">
        <v>0</v>
      </c>
      <c r="U101" s="12">
        <f t="shared" si="1"/>
        <v>0</v>
      </c>
    </row>
    <row r="102" spans="1:21" ht="15.75" customHeight="1" x14ac:dyDescent="0.25">
      <c r="A102" s="26" t="s">
        <v>341</v>
      </c>
      <c r="B102" s="26" t="s">
        <v>439</v>
      </c>
      <c r="C102" s="27" t="s">
        <v>50</v>
      </c>
      <c r="D102" s="27" t="s">
        <v>331</v>
      </c>
      <c r="E102" s="27" t="s">
        <v>331</v>
      </c>
      <c r="F102" s="27" t="s">
        <v>330</v>
      </c>
      <c r="G102" s="3" t="s">
        <v>154</v>
      </c>
      <c r="H102" s="28">
        <v>100000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2">
        <v>0</v>
      </c>
      <c r="O102" s="12">
        <v>0</v>
      </c>
      <c r="P102" s="12">
        <v>0</v>
      </c>
      <c r="Q102" s="12">
        <v>12214</v>
      </c>
      <c r="R102" s="12">
        <v>0</v>
      </c>
      <c r="S102" s="2">
        <v>87786</v>
      </c>
      <c r="T102" s="13">
        <v>0</v>
      </c>
      <c r="U102" s="12">
        <f t="shared" si="1"/>
        <v>0</v>
      </c>
    </row>
    <row r="103" spans="1:21" ht="15.75" customHeight="1" x14ac:dyDescent="0.25">
      <c r="A103" s="26" t="s">
        <v>341</v>
      </c>
      <c r="B103" s="26" t="s">
        <v>440</v>
      </c>
      <c r="C103" s="27" t="s">
        <v>174</v>
      </c>
      <c r="D103" s="27" t="s">
        <v>331</v>
      </c>
      <c r="E103" s="27" t="s">
        <v>331</v>
      </c>
      <c r="F103" s="27" t="s">
        <v>330</v>
      </c>
      <c r="G103" s="3" t="s">
        <v>154</v>
      </c>
      <c r="H103" s="28">
        <v>100000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2">
        <v>0</v>
      </c>
      <c r="O103" s="12">
        <v>0</v>
      </c>
      <c r="P103" s="12">
        <v>0</v>
      </c>
      <c r="Q103" s="12">
        <v>0</v>
      </c>
      <c r="R103" s="2">
        <v>40172</v>
      </c>
      <c r="S103" s="2">
        <v>59828</v>
      </c>
      <c r="T103" s="13">
        <v>0</v>
      </c>
      <c r="U103" s="12">
        <f t="shared" si="1"/>
        <v>0</v>
      </c>
    </row>
    <row r="104" spans="1:21" ht="15.75" customHeight="1" x14ac:dyDescent="0.25">
      <c r="A104" s="26" t="s">
        <v>341</v>
      </c>
      <c r="B104" s="26" t="s">
        <v>441</v>
      </c>
      <c r="C104" s="27" t="s">
        <v>244</v>
      </c>
      <c r="D104" s="27" t="s">
        <v>331</v>
      </c>
      <c r="E104" s="27" t="s">
        <v>331</v>
      </c>
      <c r="F104" s="27" t="s">
        <v>330</v>
      </c>
      <c r="G104" s="3" t="s">
        <v>154</v>
      </c>
      <c r="H104" s="28">
        <v>100000</v>
      </c>
      <c r="I104" s="13">
        <v>0</v>
      </c>
      <c r="J104" s="13">
        <v>0</v>
      </c>
      <c r="K104" s="3">
        <v>60000</v>
      </c>
      <c r="L104" s="13">
        <v>0</v>
      </c>
      <c r="M104" s="2">
        <v>20000</v>
      </c>
      <c r="N104" s="12">
        <v>0</v>
      </c>
      <c r="O104" s="2">
        <v>20000</v>
      </c>
      <c r="P104" s="12">
        <v>0</v>
      </c>
      <c r="Q104" s="12">
        <v>0</v>
      </c>
      <c r="R104" s="12">
        <v>0</v>
      </c>
      <c r="S104" s="12">
        <v>0</v>
      </c>
      <c r="T104" s="13">
        <v>0</v>
      </c>
      <c r="U104" s="12">
        <f t="shared" si="1"/>
        <v>0</v>
      </c>
    </row>
    <row r="105" spans="1:21" ht="15.75" customHeight="1" x14ac:dyDescent="0.25">
      <c r="A105" s="26" t="s">
        <v>341</v>
      </c>
      <c r="B105" s="26" t="s">
        <v>442</v>
      </c>
      <c r="C105" s="27" t="s">
        <v>51</v>
      </c>
      <c r="D105" s="27" t="s">
        <v>331</v>
      </c>
      <c r="E105" s="27" t="s">
        <v>331</v>
      </c>
      <c r="F105" s="27" t="s">
        <v>330</v>
      </c>
      <c r="G105" s="3" t="s">
        <v>154</v>
      </c>
      <c r="H105" s="28">
        <v>100000</v>
      </c>
      <c r="I105" s="13">
        <v>0</v>
      </c>
      <c r="J105" s="13">
        <v>0</v>
      </c>
      <c r="K105" s="13">
        <v>0</v>
      </c>
      <c r="L105" s="13">
        <v>0</v>
      </c>
      <c r="M105" s="13">
        <v>0</v>
      </c>
      <c r="N105" s="12">
        <v>0</v>
      </c>
      <c r="O105" s="12">
        <v>0</v>
      </c>
      <c r="P105" s="12">
        <v>0</v>
      </c>
      <c r="Q105" s="12">
        <v>80000</v>
      </c>
      <c r="R105" s="2">
        <v>20000</v>
      </c>
      <c r="S105" s="12">
        <v>0</v>
      </c>
      <c r="T105" s="13">
        <v>0</v>
      </c>
      <c r="U105" s="12">
        <f t="shared" si="1"/>
        <v>0</v>
      </c>
    </row>
    <row r="106" spans="1:21" ht="15.75" customHeight="1" x14ac:dyDescent="0.25">
      <c r="A106" s="26" t="s">
        <v>341</v>
      </c>
      <c r="B106" s="26" t="s">
        <v>443</v>
      </c>
      <c r="C106" s="27" t="s">
        <v>170</v>
      </c>
      <c r="D106" s="27" t="s">
        <v>331</v>
      </c>
      <c r="E106" s="27" t="s">
        <v>331</v>
      </c>
      <c r="F106" s="27" t="s">
        <v>330</v>
      </c>
      <c r="G106" s="3" t="s">
        <v>154</v>
      </c>
      <c r="H106" s="28">
        <v>100000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2">
        <v>0</v>
      </c>
      <c r="O106" s="12">
        <v>0</v>
      </c>
      <c r="P106" s="2">
        <v>40000</v>
      </c>
      <c r="Q106" s="12">
        <v>60000</v>
      </c>
      <c r="R106" s="12">
        <v>0</v>
      </c>
      <c r="S106" s="12">
        <v>0</v>
      </c>
      <c r="T106" s="13">
        <v>0</v>
      </c>
      <c r="U106" s="12">
        <f t="shared" si="1"/>
        <v>0</v>
      </c>
    </row>
    <row r="107" spans="1:21" ht="15.75" customHeight="1" x14ac:dyDescent="0.25">
      <c r="A107" s="26" t="s">
        <v>341</v>
      </c>
      <c r="B107" s="26" t="s">
        <v>444</v>
      </c>
      <c r="C107" s="27" t="s">
        <v>171</v>
      </c>
      <c r="D107" s="27" t="s">
        <v>331</v>
      </c>
      <c r="E107" s="27" t="s">
        <v>331</v>
      </c>
      <c r="F107" s="27" t="s">
        <v>330</v>
      </c>
      <c r="G107" s="3" t="s">
        <v>154</v>
      </c>
      <c r="H107" s="28">
        <v>100000</v>
      </c>
      <c r="I107" s="13">
        <v>0</v>
      </c>
      <c r="J107" s="13">
        <v>0</v>
      </c>
      <c r="K107" s="13">
        <v>0</v>
      </c>
      <c r="L107" s="13">
        <v>0</v>
      </c>
      <c r="M107" s="13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2">
        <v>55018</v>
      </c>
      <c r="T107" s="3">
        <v>44982</v>
      </c>
      <c r="U107" s="12">
        <f t="shared" si="1"/>
        <v>0</v>
      </c>
    </row>
    <row r="108" spans="1:21" ht="15.75" customHeight="1" x14ac:dyDescent="0.25">
      <c r="A108" s="26" t="s">
        <v>341</v>
      </c>
      <c r="B108" s="26" t="s">
        <v>445</v>
      </c>
      <c r="C108" s="27" t="s">
        <v>172</v>
      </c>
      <c r="D108" s="27" t="s">
        <v>330</v>
      </c>
      <c r="E108" s="27" t="s">
        <v>241</v>
      </c>
      <c r="F108" s="27" t="s">
        <v>330</v>
      </c>
      <c r="G108" s="3" t="s">
        <v>154</v>
      </c>
      <c r="H108" s="28">
        <v>100000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2">
        <v>0</v>
      </c>
      <c r="O108" s="12">
        <v>0</v>
      </c>
      <c r="P108" s="2">
        <v>16796</v>
      </c>
      <c r="Q108" s="12">
        <v>0</v>
      </c>
      <c r="R108" s="12">
        <v>0</v>
      </c>
      <c r="S108" s="2">
        <v>72525</v>
      </c>
      <c r="T108" s="3">
        <v>10679</v>
      </c>
      <c r="U108" s="12">
        <f t="shared" si="1"/>
        <v>0</v>
      </c>
    </row>
    <row r="109" spans="1:21" ht="15.75" customHeight="1" x14ac:dyDescent="0.25">
      <c r="A109" s="26" t="s">
        <v>341</v>
      </c>
      <c r="B109" s="26" t="s">
        <v>446</v>
      </c>
      <c r="C109" s="27" t="s">
        <v>52</v>
      </c>
      <c r="D109" s="27" t="s">
        <v>331</v>
      </c>
      <c r="E109" s="27" t="s">
        <v>331</v>
      </c>
      <c r="F109" s="27" t="s">
        <v>330</v>
      </c>
      <c r="G109" s="3" t="s">
        <v>154</v>
      </c>
      <c r="H109" s="28">
        <v>100000</v>
      </c>
      <c r="I109" s="13">
        <v>0</v>
      </c>
      <c r="J109" s="13">
        <v>0</v>
      </c>
      <c r="K109" s="13">
        <v>0</v>
      </c>
      <c r="L109" s="13">
        <v>0</v>
      </c>
      <c r="M109" s="13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2">
        <v>100000</v>
      </c>
      <c r="T109" s="13">
        <v>0</v>
      </c>
      <c r="U109" s="12">
        <f t="shared" si="1"/>
        <v>0</v>
      </c>
    </row>
    <row r="110" spans="1:21" ht="15.75" customHeight="1" x14ac:dyDescent="0.25">
      <c r="A110" s="26" t="s">
        <v>341</v>
      </c>
      <c r="B110" s="26" t="s">
        <v>447</v>
      </c>
      <c r="C110" s="27" t="s">
        <v>173</v>
      </c>
      <c r="D110" s="27" t="s">
        <v>331</v>
      </c>
      <c r="E110" s="27" t="s">
        <v>331</v>
      </c>
      <c r="F110" s="27" t="s">
        <v>330</v>
      </c>
      <c r="G110" s="3" t="s">
        <v>154</v>
      </c>
      <c r="H110" s="28">
        <v>100000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2">
        <v>0</v>
      </c>
      <c r="O110" s="12">
        <v>0</v>
      </c>
      <c r="P110" s="2">
        <v>100000</v>
      </c>
      <c r="Q110" s="12">
        <v>0</v>
      </c>
      <c r="R110" s="12">
        <v>0</v>
      </c>
      <c r="S110" s="12">
        <v>0</v>
      </c>
      <c r="T110" s="13">
        <v>0</v>
      </c>
      <c r="U110" s="12">
        <f t="shared" si="1"/>
        <v>0</v>
      </c>
    </row>
    <row r="111" spans="1:21" ht="15.75" customHeight="1" x14ac:dyDescent="0.25">
      <c r="A111" s="26" t="s">
        <v>341</v>
      </c>
      <c r="B111" s="26" t="s">
        <v>448</v>
      </c>
      <c r="C111" s="27" t="s">
        <v>53</v>
      </c>
      <c r="D111" s="27" t="s">
        <v>330</v>
      </c>
      <c r="E111" s="27" t="s">
        <v>241</v>
      </c>
      <c r="F111" s="27" t="s">
        <v>330</v>
      </c>
      <c r="G111" s="3" t="s">
        <v>158</v>
      </c>
      <c r="H111" s="28">
        <v>100000</v>
      </c>
      <c r="I111" s="13">
        <v>0</v>
      </c>
      <c r="J111" s="13">
        <v>0</v>
      </c>
      <c r="K111" s="13">
        <v>0</v>
      </c>
      <c r="L111" s="13">
        <v>0</v>
      </c>
      <c r="M111" s="13">
        <v>0</v>
      </c>
      <c r="N111" s="12">
        <v>0</v>
      </c>
      <c r="O111" s="12">
        <v>0</v>
      </c>
      <c r="P111" s="12">
        <v>0</v>
      </c>
      <c r="Q111" s="12">
        <v>0</v>
      </c>
      <c r="R111" s="2">
        <v>708</v>
      </c>
      <c r="S111" s="2">
        <v>76292</v>
      </c>
      <c r="T111" s="3">
        <v>23000</v>
      </c>
      <c r="U111" s="12">
        <f t="shared" si="1"/>
        <v>0</v>
      </c>
    </row>
    <row r="112" spans="1:21" ht="15.75" customHeight="1" x14ac:dyDescent="0.25">
      <c r="A112" s="26" t="s">
        <v>341</v>
      </c>
      <c r="B112" s="26" t="s">
        <v>449</v>
      </c>
      <c r="C112" s="27" t="s">
        <v>327</v>
      </c>
      <c r="D112" s="27" t="s">
        <v>330</v>
      </c>
      <c r="E112" s="27" t="s">
        <v>241</v>
      </c>
      <c r="F112" s="27" t="s">
        <v>330</v>
      </c>
      <c r="G112" s="3" t="s">
        <v>158</v>
      </c>
      <c r="H112" s="28">
        <v>100000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56000</v>
      </c>
      <c r="T112" s="3">
        <v>44000</v>
      </c>
      <c r="U112" s="12">
        <f t="shared" si="1"/>
        <v>0</v>
      </c>
    </row>
    <row r="113" spans="1:21" ht="15.75" customHeight="1" x14ac:dyDescent="0.25">
      <c r="A113" s="26" t="s">
        <v>341</v>
      </c>
      <c r="B113" s="26" t="s">
        <v>450</v>
      </c>
      <c r="C113" s="27" t="s">
        <v>54</v>
      </c>
      <c r="D113" s="27" t="s">
        <v>330</v>
      </c>
      <c r="E113" s="27" t="s">
        <v>241</v>
      </c>
      <c r="F113" s="27" t="s">
        <v>330</v>
      </c>
      <c r="G113" s="3" t="s">
        <v>158</v>
      </c>
      <c r="H113" s="28">
        <v>100000</v>
      </c>
      <c r="I113" s="13">
        <v>0</v>
      </c>
      <c r="J113" s="13">
        <v>0</v>
      </c>
      <c r="K113" s="13">
        <v>0</v>
      </c>
      <c r="L113" s="13">
        <v>0</v>
      </c>
      <c r="M113" s="13">
        <v>0</v>
      </c>
      <c r="N113" s="12">
        <v>0</v>
      </c>
      <c r="O113" s="12">
        <v>0</v>
      </c>
      <c r="P113" s="12">
        <v>0</v>
      </c>
      <c r="Q113" s="12">
        <v>0</v>
      </c>
      <c r="R113" s="2">
        <v>5527</v>
      </c>
      <c r="S113" s="2">
        <v>33473</v>
      </c>
      <c r="T113" s="3">
        <v>61000</v>
      </c>
      <c r="U113" s="12">
        <f t="shared" si="1"/>
        <v>0</v>
      </c>
    </row>
    <row r="114" spans="1:21" ht="15.75" customHeight="1" x14ac:dyDescent="0.25">
      <c r="A114" s="26" t="s">
        <v>341</v>
      </c>
      <c r="B114" s="26" t="s">
        <v>451</v>
      </c>
      <c r="C114" s="27" t="s">
        <v>55</v>
      </c>
      <c r="D114" s="27" t="s">
        <v>330</v>
      </c>
      <c r="E114" s="27" t="s">
        <v>241</v>
      </c>
      <c r="F114" s="27" t="s">
        <v>330</v>
      </c>
      <c r="G114" s="3" t="s">
        <v>158</v>
      </c>
      <c r="H114" s="28">
        <v>100000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2">
        <v>0</v>
      </c>
      <c r="O114" s="12">
        <v>0</v>
      </c>
      <c r="P114" s="12">
        <v>0</v>
      </c>
      <c r="Q114" s="12">
        <v>0</v>
      </c>
      <c r="R114" s="2">
        <v>708</v>
      </c>
      <c r="S114" s="2">
        <v>79292</v>
      </c>
      <c r="T114" s="3">
        <v>20000</v>
      </c>
      <c r="U114" s="12">
        <f t="shared" si="1"/>
        <v>0</v>
      </c>
    </row>
    <row r="115" spans="1:21" ht="15.75" customHeight="1" x14ac:dyDescent="0.25">
      <c r="A115" s="26" t="s">
        <v>341</v>
      </c>
      <c r="B115" s="26" t="s">
        <v>452</v>
      </c>
      <c r="C115" s="27" t="s">
        <v>56</v>
      </c>
      <c r="D115" s="27" t="s">
        <v>330</v>
      </c>
      <c r="E115" s="27" t="s">
        <v>241</v>
      </c>
      <c r="F115" s="27" t="s">
        <v>330</v>
      </c>
      <c r="G115" s="3" t="s">
        <v>158</v>
      </c>
      <c r="H115" s="28">
        <v>100000</v>
      </c>
      <c r="I115" s="13">
        <v>0</v>
      </c>
      <c r="J115" s="13">
        <v>0</v>
      </c>
      <c r="K115" s="13">
        <v>0</v>
      </c>
      <c r="L115" s="13">
        <v>0</v>
      </c>
      <c r="M115" s="13">
        <v>0</v>
      </c>
      <c r="N115" s="12">
        <v>0</v>
      </c>
      <c r="O115" s="12">
        <v>0</v>
      </c>
      <c r="P115" s="12">
        <v>0</v>
      </c>
      <c r="Q115" s="12">
        <v>0</v>
      </c>
      <c r="R115" s="2">
        <v>708</v>
      </c>
      <c r="S115" s="2">
        <v>76292</v>
      </c>
      <c r="T115" s="3">
        <v>23000</v>
      </c>
      <c r="U115" s="12">
        <f t="shared" si="1"/>
        <v>0</v>
      </c>
    </row>
    <row r="116" spans="1:21" ht="15.75" customHeight="1" x14ac:dyDescent="0.25">
      <c r="A116" s="26" t="s">
        <v>341</v>
      </c>
      <c r="B116" s="26" t="s">
        <v>453</v>
      </c>
      <c r="C116" s="27" t="s">
        <v>57</v>
      </c>
      <c r="D116" s="27" t="s">
        <v>330</v>
      </c>
      <c r="E116" s="27" t="s">
        <v>241</v>
      </c>
      <c r="F116" s="27" t="s">
        <v>330</v>
      </c>
      <c r="G116" s="3" t="s">
        <v>158</v>
      </c>
      <c r="H116" s="28">
        <v>100000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2">
        <v>34536</v>
      </c>
      <c r="O116" s="12">
        <v>0</v>
      </c>
      <c r="P116" s="2">
        <v>14645</v>
      </c>
      <c r="Q116" s="12">
        <v>0</v>
      </c>
      <c r="R116" s="12">
        <v>0</v>
      </c>
      <c r="S116" s="2">
        <v>50819</v>
      </c>
      <c r="T116" s="13">
        <v>0</v>
      </c>
      <c r="U116" s="12">
        <f t="shared" si="1"/>
        <v>0</v>
      </c>
    </row>
    <row r="117" spans="1:21" ht="15.75" customHeight="1" x14ac:dyDescent="0.25">
      <c r="A117" s="26" t="s">
        <v>341</v>
      </c>
      <c r="B117" s="26" t="s">
        <v>454</v>
      </c>
      <c r="C117" s="27" t="s">
        <v>58</v>
      </c>
      <c r="D117" s="27" t="s">
        <v>331</v>
      </c>
      <c r="E117" s="27" t="s">
        <v>331</v>
      </c>
      <c r="F117" s="27" t="s">
        <v>330</v>
      </c>
      <c r="G117" s="3" t="s">
        <v>158</v>
      </c>
      <c r="H117" s="28">
        <v>100000</v>
      </c>
      <c r="I117" s="13">
        <v>0</v>
      </c>
      <c r="J117" s="13">
        <v>0</v>
      </c>
      <c r="K117" s="13">
        <v>0</v>
      </c>
      <c r="L117" s="13">
        <v>0</v>
      </c>
      <c r="M117" s="13">
        <v>0</v>
      </c>
      <c r="N117" s="12">
        <v>0</v>
      </c>
      <c r="O117" s="2">
        <v>4287</v>
      </c>
      <c r="P117" s="2">
        <v>8212</v>
      </c>
      <c r="Q117" s="12">
        <v>18797</v>
      </c>
      <c r="R117" s="12">
        <v>0</v>
      </c>
      <c r="S117" s="2">
        <v>68704</v>
      </c>
      <c r="T117" s="13">
        <v>0</v>
      </c>
      <c r="U117" s="12">
        <f t="shared" si="1"/>
        <v>0</v>
      </c>
    </row>
    <row r="118" spans="1:21" ht="15.75" customHeight="1" x14ac:dyDescent="0.25">
      <c r="A118" s="26" t="s">
        <v>341</v>
      </c>
      <c r="B118" s="26" t="s">
        <v>455</v>
      </c>
      <c r="C118" s="27" t="s">
        <v>59</v>
      </c>
      <c r="D118" s="27" t="s">
        <v>330</v>
      </c>
      <c r="E118" s="27" t="s">
        <v>241</v>
      </c>
      <c r="F118" s="27" t="s">
        <v>330</v>
      </c>
      <c r="G118" s="3" t="s">
        <v>158</v>
      </c>
      <c r="H118" s="28">
        <v>100000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2">
        <v>0</v>
      </c>
      <c r="O118" s="12">
        <v>0</v>
      </c>
      <c r="P118" s="12">
        <v>0</v>
      </c>
      <c r="Q118" s="12">
        <v>0</v>
      </c>
      <c r="R118" s="2">
        <v>100000</v>
      </c>
      <c r="S118" s="12">
        <v>0</v>
      </c>
      <c r="T118" s="13">
        <v>0</v>
      </c>
      <c r="U118" s="12">
        <f t="shared" si="1"/>
        <v>0</v>
      </c>
    </row>
    <row r="119" spans="1:21" ht="15.75" customHeight="1" x14ac:dyDescent="0.25">
      <c r="A119" s="26" t="s">
        <v>341</v>
      </c>
      <c r="B119" s="26" t="s">
        <v>456</v>
      </c>
      <c r="C119" s="27" t="s">
        <v>60</v>
      </c>
      <c r="D119" s="27" t="s">
        <v>330</v>
      </c>
      <c r="E119" s="27" t="s">
        <v>241</v>
      </c>
      <c r="F119" s="27" t="s">
        <v>330</v>
      </c>
      <c r="G119" s="3" t="s">
        <v>158</v>
      </c>
      <c r="H119" s="28">
        <v>100000</v>
      </c>
      <c r="I119" s="13">
        <v>0</v>
      </c>
      <c r="J119" s="13">
        <v>0</v>
      </c>
      <c r="K119" s="13">
        <v>0</v>
      </c>
      <c r="L119" s="13">
        <v>0</v>
      </c>
      <c r="M119" s="13">
        <v>0</v>
      </c>
      <c r="N119" s="12">
        <v>0</v>
      </c>
      <c r="O119" s="12">
        <v>0</v>
      </c>
      <c r="P119" s="2">
        <v>13000</v>
      </c>
      <c r="Q119" s="12">
        <v>0</v>
      </c>
      <c r="R119" s="2">
        <v>77000</v>
      </c>
      <c r="S119" s="2">
        <v>10000</v>
      </c>
      <c r="T119" s="13">
        <v>0</v>
      </c>
      <c r="U119" s="12">
        <f t="shared" si="1"/>
        <v>0</v>
      </c>
    </row>
    <row r="120" spans="1:21" ht="15.75" customHeight="1" x14ac:dyDescent="0.25">
      <c r="A120" s="26" t="s">
        <v>341</v>
      </c>
      <c r="B120" s="26" t="s">
        <v>457</v>
      </c>
      <c r="C120" s="27" t="s">
        <v>214</v>
      </c>
      <c r="D120" s="27" t="s">
        <v>331</v>
      </c>
      <c r="E120" s="27" t="s">
        <v>331</v>
      </c>
      <c r="F120" s="27" t="s">
        <v>330</v>
      </c>
      <c r="G120" s="3" t="s">
        <v>158</v>
      </c>
      <c r="H120" s="28">
        <v>100000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2">
        <v>0</v>
      </c>
      <c r="O120" s="2">
        <v>100000</v>
      </c>
      <c r="P120" s="12">
        <v>0</v>
      </c>
      <c r="Q120" s="12">
        <v>0</v>
      </c>
      <c r="R120" s="12">
        <v>0</v>
      </c>
      <c r="S120" s="12">
        <v>0</v>
      </c>
      <c r="T120" s="13">
        <v>0</v>
      </c>
      <c r="U120" s="12">
        <f t="shared" si="1"/>
        <v>0</v>
      </c>
    </row>
    <row r="121" spans="1:21" ht="15.75" customHeight="1" x14ac:dyDescent="0.25">
      <c r="A121" s="26" t="s">
        <v>341</v>
      </c>
      <c r="B121" s="26" t="s">
        <v>458</v>
      </c>
      <c r="C121" s="27" t="s">
        <v>61</v>
      </c>
      <c r="D121" s="27" t="s">
        <v>330</v>
      </c>
      <c r="E121" s="27" t="s">
        <v>241</v>
      </c>
      <c r="F121" s="27" t="s">
        <v>330</v>
      </c>
      <c r="G121" s="3" t="s">
        <v>159</v>
      </c>
      <c r="H121" s="28">
        <v>100000</v>
      </c>
      <c r="I121" s="13">
        <v>0</v>
      </c>
      <c r="J121" s="13">
        <v>0</v>
      </c>
      <c r="K121" s="13">
        <v>0</v>
      </c>
      <c r="L121" s="13">
        <v>0</v>
      </c>
      <c r="M121" s="13">
        <v>0</v>
      </c>
      <c r="N121" s="12">
        <v>0</v>
      </c>
      <c r="O121" s="12">
        <v>0</v>
      </c>
      <c r="P121" s="12">
        <v>0</v>
      </c>
      <c r="Q121" s="12">
        <v>0</v>
      </c>
      <c r="R121" s="2">
        <v>13485</v>
      </c>
      <c r="S121" s="2">
        <v>76712</v>
      </c>
      <c r="T121" s="3">
        <v>9803</v>
      </c>
      <c r="U121" s="12">
        <f t="shared" si="1"/>
        <v>0</v>
      </c>
    </row>
    <row r="122" spans="1:21" ht="15.75" customHeight="1" x14ac:dyDescent="0.25">
      <c r="A122" s="26" t="s">
        <v>341</v>
      </c>
      <c r="B122" s="26" t="s">
        <v>459</v>
      </c>
      <c r="C122" s="27" t="s">
        <v>62</v>
      </c>
      <c r="D122" s="27" t="s">
        <v>331</v>
      </c>
      <c r="E122" s="27" t="s">
        <v>331</v>
      </c>
      <c r="F122" s="27" t="s">
        <v>330</v>
      </c>
      <c r="G122" s="3" t="s">
        <v>159</v>
      </c>
      <c r="H122" s="28">
        <v>100000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2">
        <v>0</v>
      </c>
      <c r="O122" s="12">
        <v>0</v>
      </c>
      <c r="P122" s="2">
        <v>100000</v>
      </c>
      <c r="Q122" s="12">
        <v>0</v>
      </c>
      <c r="R122" s="12">
        <v>0</v>
      </c>
      <c r="S122" s="12">
        <v>0</v>
      </c>
      <c r="T122" s="13">
        <v>0</v>
      </c>
      <c r="U122" s="12">
        <f t="shared" si="1"/>
        <v>0</v>
      </c>
    </row>
    <row r="123" spans="1:21" ht="15.75" customHeight="1" x14ac:dyDescent="0.25">
      <c r="A123" s="26" t="s">
        <v>341</v>
      </c>
      <c r="B123" s="26" t="s">
        <v>460</v>
      </c>
      <c r="C123" s="27" t="s">
        <v>215</v>
      </c>
      <c r="D123" s="27" t="s">
        <v>331</v>
      </c>
      <c r="E123" s="27" t="s">
        <v>331</v>
      </c>
      <c r="F123" s="27" t="s">
        <v>330</v>
      </c>
      <c r="G123" s="3" t="s">
        <v>159</v>
      </c>
      <c r="H123" s="28">
        <v>100000</v>
      </c>
      <c r="I123" s="13">
        <v>0</v>
      </c>
      <c r="J123" s="13">
        <v>0</v>
      </c>
      <c r="K123" s="13">
        <v>0</v>
      </c>
      <c r="L123" s="13">
        <v>0</v>
      </c>
      <c r="M123" s="13">
        <v>0</v>
      </c>
      <c r="N123" s="12">
        <v>0</v>
      </c>
      <c r="O123" s="2">
        <v>60000</v>
      </c>
      <c r="P123" s="12">
        <v>0</v>
      </c>
      <c r="Q123" s="12">
        <v>0</v>
      </c>
      <c r="R123" s="12">
        <v>40000</v>
      </c>
      <c r="S123" s="12">
        <v>0</v>
      </c>
      <c r="T123" s="13">
        <v>0</v>
      </c>
      <c r="U123" s="12">
        <f t="shared" si="1"/>
        <v>0</v>
      </c>
    </row>
    <row r="124" spans="1:21" ht="15.75" customHeight="1" x14ac:dyDescent="0.25">
      <c r="A124" s="26" t="s">
        <v>341</v>
      </c>
      <c r="B124" s="26" t="s">
        <v>461</v>
      </c>
      <c r="C124" s="27" t="s">
        <v>63</v>
      </c>
      <c r="D124" s="27" t="s">
        <v>330</v>
      </c>
      <c r="E124" s="27" t="s">
        <v>241</v>
      </c>
      <c r="F124" s="27" t="s">
        <v>330</v>
      </c>
      <c r="G124" s="3" t="s">
        <v>158</v>
      </c>
      <c r="H124" s="28">
        <v>100000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13">
        <v>0</v>
      </c>
      <c r="U124" s="12">
        <f t="shared" si="1"/>
        <v>100000</v>
      </c>
    </row>
    <row r="125" spans="1:21" ht="15.75" customHeight="1" x14ac:dyDescent="0.25">
      <c r="A125" s="26" t="s">
        <v>341</v>
      </c>
      <c r="B125" s="26" t="s">
        <v>462</v>
      </c>
      <c r="C125" s="27" t="s">
        <v>64</v>
      </c>
      <c r="D125" s="27" t="s">
        <v>330</v>
      </c>
      <c r="E125" s="27" t="s">
        <v>241</v>
      </c>
      <c r="F125" s="27" t="s">
        <v>330</v>
      </c>
      <c r="G125" s="3" t="s">
        <v>158</v>
      </c>
      <c r="H125" s="28">
        <v>100000</v>
      </c>
      <c r="I125" s="2">
        <v>93068</v>
      </c>
      <c r="J125" s="13">
        <v>0</v>
      </c>
      <c r="K125" s="13">
        <v>0</v>
      </c>
      <c r="L125" s="13">
        <v>0</v>
      </c>
      <c r="M125" s="13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2">
        <v>4000</v>
      </c>
      <c r="T125" s="13">
        <v>0</v>
      </c>
      <c r="U125" s="12">
        <f t="shared" si="1"/>
        <v>2932</v>
      </c>
    </row>
    <row r="126" spans="1:21" ht="15.75" customHeight="1" x14ac:dyDescent="0.25">
      <c r="A126" s="26" t="s">
        <v>341</v>
      </c>
      <c r="B126" s="26" t="s">
        <v>463</v>
      </c>
      <c r="C126" s="27" t="s">
        <v>65</v>
      </c>
      <c r="D126" s="27" t="s">
        <v>330</v>
      </c>
      <c r="E126" s="27" t="s">
        <v>241</v>
      </c>
      <c r="F126" s="27" t="s">
        <v>330</v>
      </c>
      <c r="G126" s="3" t="s">
        <v>158</v>
      </c>
      <c r="H126" s="28">
        <v>100000</v>
      </c>
      <c r="I126" s="13">
        <v>0</v>
      </c>
      <c r="J126" s="13">
        <v>0</v>
      </c>
      <c r="K126" s="2">
        <v>92125</v>
      </c>
      <c r="L126" s="13">
        <v>0</v>
      </c>
      <c r="M126" s="13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3">
        <v>0</v>
      </c>
      <c r="U126" s="12">
        <f t="shared" si="1"/>
        <v>7875</v>
      </c>
    </row>
    <row r="127" spans="1:21" ht="15.75" customHeight="1" x14ac:dyDescent="0.25">
      <c r="A127" s="26" t="s">
        <v>341</v>
      </c>
      <c r="B127" s="26" t="s">
        <v>464</v>
      </c>
      <c r="C127" s="27" t="s">
        <v>66</v>
      </c>
      <c r="D127" s="27" t="s">
        <v>330</v>
      </c>
      <c r="E127" s="27" t="s">
        <v>241</v>
      </c>
      <c r="F127" s="27" t="s">
        <v>330</v>
      </c>
      <c r="G127" s="3" t="s">
        <v>158</v>
      </c>
      <c r="H127" s="28">
        <v>100000</v>
      </c>
      <c r="I127" s="13">
        <v>0</v>
      </c>
      <c r="J127" s="13">
        <v>0</v>
      </c>
      <c r="K127" s="2">
        <v>84800</v>
      </c>
      <c r="L127" s="13">
        <v>0</v>
      </c>
      <c r="M127" s="13">
        <v>0</v>
      </c>
      <c r="N127" s="12">
        <v>0</v>
      </c>
      <c r="O127" s="12">
        <v>0</v>
      </c>
      <c r="P127" s="12">
        <v>0</v>
      </c>
      <c r="Q127" s="12">
        <v>0</v>
      </c>
      <c r="R127" s="2">
        <v>5813</v>
      </c>
      <c r="S127" s="12">
        <v>0</v>
      </c>
      <c r="T127" s="13">
        <v>0</v>
      </c>
      <c r="U127" s="12">
        <f t="shared" si="1"/>
        <v>9387</v>
      </c>
    </row>
    <row r="128" spans="1:21" ht="15.75" customHeight="1" x14ac:dyDescent="0.25">
      <c r="A128" s="26" t="s">
        <v>341</v>
      </c>
      <c r="B128" s="26" t="s">
        <v>465</v>
      </c>
      <c r="C128" s="27" t="s">
        <v>324</v>
      </c>
      <c r="D128" s="27" t="s">
        <v>330</v>
      </c>
      <c r="E128" s="27" t="s">
        <v>241</v>
      </c>
      <c r="F128" s="27" t="s">
        <v>330</v>
      </c>
      <c r="G128" s="3" t="s">
        <v>158</v>
      </c>
      <c r="H128" s="28">
        <v>100000</v>
      </c>
      <c r="I128" s="13">
        <v>0</v>
      </c>
      <c r="J128" s="13">
        <v>0</v>
      </c>
      <c r="K128" s="2">
        <v>100000</v>
      </c>
      <c r="L128" s="13">
        <v>0</v>
      </c>
      <c r="M128" s="13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13">
        <v>0</v>
      </c>
      <c r="U128" s="12">
        <f t="shared" si="1"/>
        <v>0</v>
      </c>
    </row>
    <row r="129" spans="1:21" ht="15.75" customHeight="1" x14ac:dyDescent="0.25">
      <c r="A129" s="26" t="s">
        <v>341</v>
      </c>
      <c r="B129" s="26" t="s">
        <v>466</v>
      </c>
      <c r="C129" s="27" t="s">
        <v>67</v>
      </c>
      <c r="D129" s="27" t="s">
        <v>331</v>
      </c>
      <c r="E129" s="27" t="s">
        <v>331</v>
      </c>
      <c r="F129" s="27" t="s">
        <v>331</v>
      </c>
      <c r="G129" s="3" t="s">
        <v>175</v>
      </c>
      <c r="H129" s="28">
        <v>100000</v>
      </c>
      <c r="I129" s="13">
        <v>0</v>
      </c>
      <c r="J129" s="13">
        <v>0</v>
      </c>
      <c r="K129" s="2">
        <v>100000</v>
      </c>
      <c r="L129" s="13">
        <v>0</v>
      </c>
      <c r="M129" s="13">
        <v>0</v>
      </c>
      <c r="N129" s="12">
        <v>0</v>
      </c>
      <c r="O129" s="12">
        <v>0</v>
      </c>
      <c r="P129" s="12">
        <v>0</v>
      </c>
      <c r="Q129" s="12">
        <v>0</v>
      </c>
      <c r="R129" s="12">
        <v>0</v>
      </c>
      <c r="S129" s="12">
        <v>0</v>
      </c>
      <c r="T129" s="13">
        <v>0</v>
      </c>
      <c r="U129" s="12">
        <f t="shared" si="1"/>
        <v>0</v>
      </c>
    </row>
    <row r="130" spans="1:21" ht="15.75" customHeight="1" x14ac:dyDescent="0.25">
      <c r="A130" s="26" t="s">
        <v>341</v>
      </c>
      <c r="B130" s="26" t="s">
        <v>467</v>
      </c>
      <c r="C130" s="27" t="s">
        <v>68</v>
      </c>
      <c r="D130" s="27" t="s">
        <v>331</v>
      </c>
      <c r="E130" s="27" t="s">
        <v>331</v>
      </c>
      <c r="F130" s="27" t="s">
        <v>331</v>
      </c>
      <c r="G130" s="3" t="s">
        <v>175</v>
      </c>
      <c r="H130" s="28">
        <v>100000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2">
        <v>13104</v>
      </c>
      <c r="O130" s="2">
        <v>3429</v>
      </c>
      <c r="P130" s="2">
        <v>1745</v>
      </c>
      <c r="Q130" s="12">
        <v>1712</v>
      </c>
      <c r="R130" s="2">
        <v>80010</v>
      </c>
      <c r="S130" s="12">
        <v>0</v>
      </c>
      <c r="T130" s="13">
        <v>0</v>
      </c>
      <c r="U130" s="12">
        <f t="shared" si="1"/>
        <v>0</v>
      </c>
    </row>
    <row r="131" spans="1:21" ht="15.75" customHeight="1" x14ac:dyDescent="0.25">
      <c r="A131" s="26" t="s">
        <v>341</v>
      </c>
      <c r="B131" s="26" t="s">
        <v>468</v>
      </c>
      <c r="C131" s="27" t="s">
        <v>69</v>
      </c>
      <c r="D131" s="27" t="s">
        <v>331</v>
      </c>
      <c r="E131" s="27" t="s">
        <v>331</v>
      </c>
      <c r="F131" s="27" t="s">
        <v>331</v>
      </c>
      <c r="G131" s="3" t="s">
        <v>175</v>
      </c>
      <c r="H131" s="28">
        <v>100000</v>
      </c>
      <c r="I131" s="13">
        <v>0</v>
      </c>
      <c r="J131" s="13">
        <v>0</v>
      </c>
      <c r="K131" s="13">
        <v>0</v>
      </c>
      <c r="L131" s="13">
        <v>0</v>
      </c>
      <c r="M131" s="13">
        <v>0</v>
      </c>
      <c r="N131" s="12">
        <v>15401</v>
      </c>
      <c r="O131" s="2">
        <v>8004</v>
      </c>
      <c r="P131" s="12">
        <v>0</v>
      </c>
      <c r="Q131" s="12">
        <v>0</v>
      </c>
      <c r="R131" s="2">
        <v>52144</v>
      </c>
      <c r="S131" s="12">
        <v>24451</v>
      </c>
      <c r="T131" s="13">
        <v>0</v>
      </c>
      <c r="U131" s="12">
        <f t="shared" si="1"/>
        <v>0</v>
      </c>
    </row>
    <row r="132" spans="1:21" ht="15.75" customHeight="1" x14ac:dyDescent="0.25">
      <c r="A132" s="26" t="s">
        <v>341</v>
      </c>
      <c r="B132" s="26" t="s">
        <v>469</v>
      </c>
      <c r="C132" s="27" t="s">
        <v>70</v>
      </c>
      <c r="D132" s="27" t="s">
        <v>331</v>
      </c>
      <c r="E132" s="27" t="s">
        <v>331</v>
      </c>
      <c r="F132" s="27" t="s">
        <v>331</v>
      </c>
      <c r="G132" s="3" t="s">
        <v>175</v>
      </c>
      <c r="H132" s="28">
        <v>100000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2">
        <v>42400</v>
      </c>
      <c r="O132" s="2">
        <v>8768</v>
      </c>
      <c r="P132" s="2">
        <v>4536</v>
      </c>
      <c r="Q132" s="12">
        <v>35422</v>
      </c>
      <c r="R132" s="12">
        <v>0</v>
      </c>
      <c r="S132" s="12">
        <v>8874</v>
      </c>
      <c r="T132" s="13">
        <v>0</v>
      </c>
      <c r="U132" s="12">
        <f t="shared" si="1"/>
        <v>0</v>
      </c>
    </row>
    <row r="133" spans="1:21" ht="15.75" customHeight="1" x14ac:dyDescent="0.25">
      <c r="A133" s="26" t="s">
        <v>341</v>
      </c>
      <c r="B133" s="26" t="s">
        <v>470</v>
      </c>
      <c r="C133" s="27" t="s">
        <v>176</v>
      </c>
      <c r="D133" s="27" t="s">
        <v>331</v>
      </c>
      <c r="E133" s="27" t="s">
        <v>331</v>
      </c>
      <c r="F133" s="27" t="s">
        <v>331</v>
      </c>
      <c r="G133" s="3" t="s">
        <v>156</v>
      </c>
      <c r="H133" s="28">
        <v>100000</v>
      </c>
      <c r="I133" s="13">
        <v>0</v>
      </c>
      <c r="J133" s="13">
        <v>0</v>
      </c>
      <c r="K133" s="13">
        <v>0</v>
      </c>
      <c r="L133" s="13">
        <v>0</v>
      </c>
      <c r="M133" s="12">
        <v>7610</v>
      </c>
      <c r="N133" s="12">
        <v>0</v>
      </c>
      <c r="O133" s="12">
        <v>0</v>
      </c>
      <c r="P133" s="2">
        <v>92390</v>
      </c>
      <c r="Q133" s="12">
        <v>0</v>
      </c>
      <c r="R133" s="12">
        <v>0</v>
      </c>
      <c r="S133" s="12">
        <v>0</v>
      </c>
      <c r="T133" s="13">
        <v>0</v>
      </c>
      <c r="U133" s="12">
        <f t="shared" si="1"/>
        <v>0</v>
      </c>
    </row>
    <row r="134" spans="1:21" ht="15.75" customHeight="1" x14ac:dyDescent="0.25">
      <c r="A134" s="26" t="s">
        <v>341</v>
      </c>
      <c r="B134" s="26" t="s">
        <v>471</v>
      </c>
      <c r="C134" s="27" t="s">
        <v>71</v>
      </c>
      <c r="D134" s="27" t="s">
        <v>331</v>
      </c>
      <c r="E134" s="27" t="s">
        <v>331</v>
      </c>
      <c r="F134" s="27" t="s">
        <v>331</v>
      </c>
      <c r="G134" s="3" t="s">
        <v>162</v>
      </c>
      <c r="H134" s="28">
        <v>100000</v>
      </c>
      <c r="I134" s="13">
        <v>0</v>
      </c>
      <c r="J134" s="13">
        <v>0</v>
      </c>
      <c r="K134" s="13">
        <v>0</v>
      </c>
      <c r="L134" s="13">
        <v>0</v>
      </c>
      <c r="M134" s="12">
        <v>16185</v>
      </c>
      <c r="N134" s="2">
        <v>74797</v>
      </c>
      <c r="O134" s="12">
        <v>0</v>
      </c>
      <c r="P134" s="12">
        <v>0</v>
      </c>
      <c r="Q134" s="12">
        <v>7610</v>
      </c>
      <c r="R134" s="12">
        <v>0</v>
      </c>
      <c r="S134" s="12">
        <v>0</v>
      </c>
      <c r="T134" s="13">
        <v>1408</v>
      </c>
      <c r="U134" s="12">
        <f t="shared" ref="U134:U142" si="2">H134-(I134+J134+K134+L134+M134+N134+O134+P134+Q134+R134+S134+T134)</f>
        <v>0</v>
      </c>
    </row>
    <row r="135" spans="1:21" ht="15.75" customHeight="1" x14ac:dyDescent="0.25">
      <c r="A135" s="26" t="s">
        <v>341</v>
      </c>
      <c r="B135" s="26" t="s">
        <v>472</v>
      </c>
      <c r="C135" s="27" t="s">
        <v>72</v>
      </c>
      <c r="D135" s="27" t="s">
        <v>331</v>
      </c>
      <c r="E135" s="27" t="s">
        <v>331</v>
      </c>
      <c r="F135" s="27" t="s">
        <v>331</v>
      </c>
      <c r="G135" s="3" t="s">
        <v>162</v>
      </c>
      <c r="H135" s="28">
        <v>100000</v>
      </c>
      <c r="I135" s="13">
        <v>0</v>
      </c>
      <c r="J135" s="13">
        <v>0</v>
      </c>
      <c r="K135" s="13">
        <v>0</v>
      </c>
      <c r="L135" s="13">
        <v>0</v>
      </c>
      <c r="M135" s="12">
        <v>6712</v>
      </c>
      <c r="N135" s="12">
        <v>0</v>
      </c>
      <c r="O135" s="12">
        <v>0</v>
      </c>
      <c r="P135" s="12">
        <v>0</v>
      </c>
      <c r="Q135" s="12">
        <v>16185</v>
      </c>
      <c r="R135" s="12">
        <v>0</v>
      </c>
      <c r="S135" s="12">
        <v>0</v>
      </c>
      <c r="T135" s="13">
        <v>77103</v>
      </c>
      <c r="U135" s="12">
        <f t="shared" si="2"/>
        <v>0</v>
      </c>
    </row>
    <row r="136" spans="1:21" ht="15.75" customHeight="1" x14ac:dyDescent="0.25">
      <c r="A136" s="26" t="s">
        <v>341</v>
      </c>
      <c r="B136" s="26" t="s">
        <v>473</v>
      </c>
      <c r="C136" s="27" t="s">
        <v>73</v>
      </c>
      <c r="D136" s="27" t="s">
        <v>331</v>
      </c>
      <c r="E136" s="27" t="s">
        <v>331</v>
      </c>
      <c r="F136" s="27" t="s">
        <v>330</v>
      </c>
      <c r="G136" s="3" t="s">
        <v>152</v>
      </c>
      <c r="H136" s="28">
        <v>100000</v>
      </c>
      <c r="I136" s="13">
        <v>0</v>
      </c>
      <c r="J136" s="13">
        <v>0</v>
      </c>
      <c r="K136" s="13">
        <v>0</v>
      </c>
      <c r="L136" s="13">
        <v>0</v>
      </c>
      <c r="M136" s="2">
        <v>49602</v>
      </c>
      <c r="N136" s="12">
        <v>0</v>
      </c>
      <c r="O136" s="12">
        <v>0</v>
      </c>
      <c r="P136" s="2">
        <v>13434</v>
      </c>
      <c r="Q136" s="12">
        <v>6712</v>
      </c>
      <c r="R136" s="12">
        <v>0</v>
      </c>
      <c r="S136" s="12">
        <v>0</v>
      </c>
      <c r="T136" s="13">
        <v>30252</v>
      </c>
      <c r="U136" s="12">
        <f t="shared" si="2"/>
        <v>0</v>
      </c>
    </row>
    <row r="137" spans="1:21" ht="15.75" customHeight="1" x14ac:dyDescent="0.25">
      <c r="A137" s="26" t="s">
        <v>341</v>
      </c>
      <c r="B137" s="26" t="s">
        <v>474</v>
      </c>
      <c r="C137" s="27" t="s">
        <v>74</v>
      </c>
      <c r="D137" s="27" t="s">
        <v>331</v>
      </c>
      <c r="E137" s="27" t="s">
        <v>331</v>
      </c>
      <c r="F137" s="27" t="s">
        <v>330</v>
      </c>
      <c r="G137" s="3" t="s">
        <v>152</v>
      </c>
      <c r="H137" s="28">
        <v>100000</v>
      </c>
      <c r="I137" s="13">
        <v>0</v>
      </c>
      <c r="J137" s="13">
        <v>0</v>
      </c>
      <c r="K137" s="13">
        <v>0</v>
      </c>
      <c r="L137" s="13">
        <v>0</v>
      </c>
      <c r="M137" s="2">
        <v>5979</v>
      </c>
      <c r="N137" s="12">
        <v>0</v>
      </c>
      <c r="O137" s="12">
        <v>0</v>
      </c>
      <c r="P137" s="12">
        <v>0</v>
      </c>
      <c r="Q137" s="12">
        <v>24089</v>
      </c>
      <c r="R137" s="2">
        <v>5979</v>
      </c>
      <c r="S137" s="12">
        <v>0</v>
      </c>
      <c r="T137" s="13">
        <v>63953</v>
      </c>
      <c r="U137" s="12">
        <f t="shared" si="2"/>
        <v>0</v>
      </c>
    </row>
    <row r="138" spans="1:21" ht="15.75" customHeight="1" x14ac:dyDescent="0.25">
      <c r="A138" s="26" t="s">
        <v>341</v>
      </c>
      <c r="B138" s="26" t="s">
        <v>475</v>
      </c>
      <c r="C138" s="27" t="s">
        <v>75</v>
      </c>
      <c r="D138" s="27" t="s">
        <v>331</v>
      </c>
      <c r="E138" s="27" t="s">
        <v>331</v>
      </c>
      <c r="F138" s="27" t="s">
        <v>330</v>
      </c>
      <c r="G138" s="3" t="s">
        <v>152</v>
      </c>
      <c r="H138" s="28">
        <v>100000</v>
      </c>
      <c r="I138" s="13">
        <v>0</v>
      </c>
      <c r="J138" s="13">
        <v>0</v>
      </c>
      <c r="K138" s="13">
        <v>0</v>
      </c>
      <c r="L138" s="13">
        <v>0</v>
      </c>
      <c r="M138" s="2">
        <v>48594</v>
      </c>
      <c r="N138" s="12">
        <v>0</v>
      </c>
      <c r="O138" s="12">
        <v>0</v>
      </c>
      <c r="P138" s="12">
        <v>0</v>
      </c>
      <c r="Q138" s="12">
        <v>2812</v>
      </c>
      <c r="R138" s="2">
        <v>7116</v>
      </c>
      <c r="S138" s="2">
        <v>41478</v>
      </c>
      <c r="T138" s="13">
        <v>0</v>
      </c>
      <c r="U138" s="12">
        <f t="shared" si="2"/>
        <v>0</v>
      </c>
    </row>
    <row r="139" spans="1:21" x14ac:dyDescent="0.25">
      <c r="A139" s="26" t="s">
        <v>341</v>
      </c>
      <c r="B139" s="26" t="s">
        <v>476</v>
      </c>
      <c r="C139" s="27" t="s">
        <v>76</v>
      </c>
      <c r="D139" s="27" t="s">
        <v>330</v>
      </c>
      <c r="E139" s="27" t="s">
        <v>241</v>
      </c>
      <c r="F139" s="27" t="s">
        <v>331</v>
      </c>
      <c r="G139" s="3" t="s">
        <v>320</v>
      </c>
      <c r="H139" s="28">
        <v>100000</v>
      </c>
      <c r="I139" s="2">
        <v>15026</v>
      </c>
      <c r="J139" s="13">
        <v>0</v>
      </c>
      <c r="K139" s="13">
        <v>0</v>
      </c>
      <c r="L139" s="13">
        <v>0</v>
      </c>
      <c r="M139" s="13">
        <v>0</v>
      </c>
      <c r="N139" s="12">
        <v>0</v>
      </c>
      <c r="O139" s="12">
        <v>0</v>
      </c>
      <c r="P139" s="12">
        <v>0</v>
      </c>
      <c r="Q139" s="12">
        <v>23973</v>
      </c>
      <c r="R139" s="2">
        <v>46568</v>
      </c>
      <c r="S139" s="12">
        <v>0</v>
      </c>
      <c r="T139" s="3">
        <v>14433</v>
      </c>
      <c r="U139" s="12">
        <f t="shared" si="2"/>
        <v>0</v>
      </c>
    </row>
    <row r="140" spans="1:21" ht="15.75" customHeight="1" x14ac:dyDescent="0.25">
      <c r="A140" s="26" t="s">
        <v>341</v>
      </c>
      <c r="B140" s="26" t="s">
        <v>477</v>
      </c>
      <c r="C140" s="27" t="s">
        <v>77</v>
      </c>
      <c r="D140" s="27" t="s">
        <v>331</v>
      </c>
      <c r="E140" s="27" t="s">
        <v>331</v>
      </c>
      <c r="F140" s="27" t="s">
        <v>330</v>
      </c>
      <c r="G140" s="3" t="s">
        <v>152</v>
      </c>
      <c r="H140" s="28">
        <v>100000</v>
      </c>
      <c r="I140" s="12">
        <v>36294</v>
      </c>
      <c r="J140" s="13">
        <v>0</v>
      </c>
      <c r="K140" s="13">
        <v>0</v>
      </c>
      <c r="L140" s="13">
        <v>0</v>
      </c>
      <c r="M140" s="13">
        <v>0</v>
      </c>
      <c r="N140" s="12">
        <v>0</v>
      </c>
      <c r="O140" s="12">
        <v>0</v>
      </c>
      <c r="P140" s="2">
        <v>22711</v>
      </c>
      <c r="Q140" s="12">
        <v>6106</v>
      </c>
      <c r="R140" s="12">
        <v>0</v>
      </c>
      <c r="S140" s="2">
        <v>34889</v>
      </c>
      <c r="T140" s="13">
        <v>0</v>
      </c>
      <c r="U140" s="12">
        <f t="shared" si="2"/>
        <v>0</v>
      </c>
    </row>
    <row r="141" spans="1:21" ht="15.75" customHeight="1" x14ac:dyDescent="0.25">
      <c r="A141" s="26" t="s">
        <v>341</v>
      </c>
      <c r="B141" s="26" t="s">
        <v>478</v>
      </c>
      <c r="C141" s="27" t="s">
        <v>78</v>
      </c>
      <c r="D141" s="27" t="s">
        <v>331</v>
      </c>
      <c r="E141" s="27" t="s">
        <v>331</v>
      </c>
      <c r="F141" t="s">
        <v>330</v>
      </c>
      <c r="G141" s="3" t="s">
        <v>151</v>
      </c>
      <c r="H141" s="28">
        <v>50000</v>
      </c>
      <c r="I141" s="12">
        <v>7610</v>
      </c>
      <c r="J141" s="3">
        <v>35818</v>
      </c>
      <c r="K141" s="13">
        <v>0</v>
      </c>
      <c r="L141" s="13">
        <v>0</v>
      </c>
      <c r="M141" s="13">
        <v>0</v>
      </c>
      <c r="N141" s="12">
        <v>0</v>
      </c>
      <c r="O141" s="12">
        <v>0</v>
      </c>
      <c r="P141" s="12">
        <v>0</v>
      </c>
      <c r="Q141" s="12">
        <v>0</v>
      </c>
      <c r="R141" s="2">
        <v>6572</v>
      </c>
      <c r="S141" s="12">
        <v>0</v>
      </c>
      <c r="T141" s="13">
        <v>0</v>
      </c>
      <c r="U141" s="12">
        <f t="shared" si="2"/>
        <v>0</v>
      </c>
    </row>
    <row r="142" spans="1:21" ht="15.75" customHeight="1" x14ac:dyDescent="0.25">
      <c r="A142" s="26" t="s">
        <v>341</v>
      </c>
      <c r="B142" s="26" t="s">
        <v>479</v>
      </c>
      <c r="C142" s="27" t="s">
        <v>79</v>
      </c>
      <c r="D142" s="27" t="s">
        <v>331</v>
      </c>
      <c r="E142" s="27" t="s">
        <v>331</v>
      </c>
      <c r="F142" t="s">
        <v>330</v>
      </c>
      <c r="G142" s="3" t="s">
        <v>151</v>
      </c>
      <c r="H142" s="28">
        <v>50000</v>
      </c>
      <c r="I142" s="12">
        <v>16185</v>
      </c>
      <c r="J142" s="3">
        <v>17752</v>
      </c>
      <c r="K142" s="13">
        <v>0</v>
      </c>
      <c r="L142" s="13">
        <v>0</v>
      </c>
      <c r="M142" s="13">
        <v>0</v>
      </c>
      <c r="N142" s="12">
        <v>0</v>
      </c>
      <c r="O142" s="12">
        <v>0</v>
      </c>
      <c r="P142" s="12">
        <v>0</v>
      </c>
      <c r="Q142" s="12">
        <v>0</v>
      </c>
      <c r="R142" s="2">
        <v>16063</v>
      </c>
      <c r="S142" s="12">
        <v>0</v>
      </c>
      <c r="T142" s="13">
        <v>0</v>
      </c>
      <c r="U142" s="12">
        <f t="shared" si="2"/>
        <v>0</v>
      </c>
    </row>
    <row r="143" spans="1:21" ht="15.75" customHeight="1" x14ac:dyDescent="0.25">
      <c r="A143" s="26" t="s">
        <v>341</v>
      </c>
      <c r="B143" s="26" t="s">
        <v>480</v>
      </c>
      <c r="C143" s="27" t="s">
        <v>80</v>
      </c>
      <c r="D143" s="27" t="s">
        <v>331</v>
      </c>
      <c r="E143" s="27" t="s">
        <v>331</v>
      </c>
      <c r="F143" t="s">
        <v>330</v>
      </c>
      <c r="G143" s="3" t="s">
        <v>151</v>
      </c>
      <c r="H143" s="28">
        <v>50000</v>
      </c>
      <c r="I143" s="13">
        <v>0</v>
      </c>
      <c r="J143" s="3">
        <v>10894</v>
      </c>
      <c r="K143" s="13">
        <v>0</v>
      </c>
      <c r="L143" s="13">
        <v>0</v>
      </c>
      <c r="M143" s="13">
        <v>0</v>
      </c>
      <c r="N143" s="12">
        <v>6712</v>
      </c>
      <c r="O143" s="2">
        <v>19619</v>
      </c>
      <c r="P143" s="12">
        <v>0</v>
      </c>
      <c r="Q143" s="12">
        <v>12775</v>
      </c>
      <c r="R143" s="12">
        <v>0</v>
      </c>
      <c r="S143" s="12">
        <v>0</v>
      </c>
      <c r="T143" s="13">
        <v>0</v>
      </c>
      <c r="U143" s="12">
        <f t="shared" ref="U143:U206" si="3">H143-(I143+J143+K143+L143+M143+N143+O143+P143+Q143+R143+S143+T143)</f>
        <v>0</v>
      </c>
    </row>
    <row r="144" spans="1:21" ht="15.75" customHeight="1" x14ac:dyDescent="0.25">
      <c r="A144" s="26" t="s">
        <v>341</v>
      </c>
      <c r="B144" s="26" t="s">
        <v>481</v>
      </c>
      <c r="C144" s="27" t="s">
        <v>81</v>
      </c>
      <c r="D144" s="27" t="s">
        <v>331</v>
      </c>
      <c r="E144" s="27" t="s">
        <v>331</v>
      </c>
      <c r="F144" t="s">
        <v>330</v>
      </c>
      <c r="G144" s="3" t="s">
        <v>151</v>
      </c>
      <c r="H144" s="28">
        <v>50000</v>
      </c>
      <c r="I144" s="13">
        <v>0</v>
      </c>
      <c r="J144" s="3">
        <v>0</v>
      </c>
      <c r="K144" s="13">
        <v>0</v>
      </c>
      <c r="L144" s="13">
        <v>0</v>
      </c>
      <c r="M144" s="13">
        <v>0</v>
      </c>
      <c r="N144" s="12">
        <v>24089</v>
      </c>
      <c r="O144" s="12">
        <v>0</v>
      </c>
      <c r="P144" s="12">
        <v>0</v>
      </c>
      <c r="Q144" s="12">
        <v>0</v>
      </c>
      <c r="R144" s="2">
        <v>25911</v>
      </c>
      <c r="S144" s="12">
        <v>0</v>
      </c>
      <c r="T144" s="13">
        <v>0</v>
      </c>
      <c r="U144" s="12">
        <f t="shared" si="3"/>
        <v>0</v>
      </c>
    </row>
    <row r="145" spans="1:21" ht="15.75" customHeight="1" x14ac:dyDescent="0.25">
      <c r="A145" s="26" t="s">
        <v>341</v>
      </c>
      <c r="B145" s="26" t="s">
        <v>482</v>
      </c>
      <c r="C145" s="27" t="s">
        <v>82</v>
      </c>
      <c r="D145" s="27" t="s">
        <v>331</v>
      </c>
      <c r="E145" s="27" t="s">
        <v>331</v>
      </c>
      <c r="F145" t="s">
        <v>330</v>
      </c>
      <c r="G145" s="3" t="s">
        <v>151</v>
      </c>
      <c r="H145" s="28">
        <v>50000</v>
      </c>
      <c r="I145" s="13">
        <v>0</v>
      </c>
      <c r="J145" s="3">
        <v>14407</v>
      </c>
      <c r="K145" s="12">
        <v>24089</v>
      </c>
      <c r="L145" s="13">
        <v>0</v>
      </c>
      <c r="M145" s="13">
        <v>0</v>
      </c>
      <c r="N145" s="12">
        <v>0</v>
      </c>
      <c r="O145" s="2">
        <v>4778</v>
      </c>
      <c r="P145" s="12">
        <v>0</v>
      </c>
      <c r="Q145" s="12">
        <v>0</v>
      </c>
      <c r="R145" s="2">
        <v>6726</v>
      </c>
      <c r="S145" s="12">
        <v>0</v>
      </c>
      <c r="T145" s="13">
        <v>0</v>
      </c>
      <c r="U145" s="12">
        <f t="shared" si="3"/>
        <v>0</v>
      </c>
    </row>
    <row r="146" spans="1:21" ht="15.75" customHeight="1" x14ac:dyDescent="0.25">
      <c r="A146" s="26" t="s">
        <v>341</v>
      </c>
      <c r="B146" s="26" t="s">
        <v>483</v>
      </c>
      <c r="C146" s="27" t="s">
        <v>240</v>
      </c>
      <c r="D146" s="27" t="s">
        <v>331</v>
      </c>
      <c r="E146" s="27" t="s">
        <v>331</v>
      </c>
      <c r="F146" t="s">
        <v>330</v>
      </c>
      <c r="G146" s="3" t="s">
        <v>151</v>
      </c>
      <c r="H146" s="28">
        <v>50000</v>
      </c>
      <c r="I146" s="13">
        <v>0</v>
      </c>
      <c r="J146" s="3">
        <v>22273</v>
      </c>
      <c r="K146" s="12">
        <v>27727</v>
      </c>
      <c r="L146" s="13">
        <v>0</v>
      </c>
      <c r="M146" s="13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3">
        <v>0</v>
      </c>
      <c r="U146" s="12">
        <f t="shared" si="3"/>
        <v>0</v>
      </c>
    </row>
    <row r="147" spans="1:21" ht="15.75" customHeight="1" x14ac:dyDescent="0.25">
      <c r="A147" s="26" t="s">
        <v>341</v>
      </c>
      <c r="B147" s="26" t="s">
        <v>484</v>
      </c>
      <c r="C147" s="27" t="s">
        <v>83</v>
      </c>
      <c r="D147" s="27" t="s">
        <v>331</v>
      </c>
      <c r="E147" s="27" t="s">
        <v>331</v>
      </c>
      <c r="F147" s="27" t="s">
        <v>330</v>
      </c>
      <c r="G147" s="3" t="s">
        <v>177</v>
      </c>
      <c r="H147" s="28">
        <v>100000</v>
      </c>
      <c r="I147" s="13">
        <v>0</v>
      </c>
      <c r="J147" s="13">
        <v>0</v>
      </c>
      <c r="K147" s="13">
        <v>0</v>
      </c>
      <c r="L147" s="13">
        <v>0</v>
      </c>
      <c r="M147" s="13">
        <v>0</v>
      </c>
      <c r="N147" s="12">
        <v>0</v>
      </c>
      <c r="O147" s="12">
        <v>0</v>
      </c>
      <c r="P147" s="12">
        <v>0</v>
      </c>
      <c r="Q147" s="12">
        <v>25000</v>
      </c>
      <c r="R147" s="2">
        <v>75000</v>
      </c>
      <c r="S147" s="12">
        <v>0</v>
      </c>
      <c r="T147" s="13">
        <v>0</v>
      </c>
      <c r="U147" s="12">
        <f t="shared" si="3"/>
        <v>0</v>
      </c>
    </row>
    <row r="148" spans="1:21" ht="15.75" customHeight="1" x14ac:dyDescent="0.25">
      <c r="A148" s="26" t="s">
        <v>341</v>
      </c>
      <c r="B148" s="26" t="s">
        <v>485</v>
      </c>
      <c r="C148" s="27" t="s">
        <v>178</v>
      </c>
      <c r="D148" s="27" t="s">
        <v>331</v>
      </c>
      <c r="E148" s="27" t="s">
        <v>331</v>
      </c>
      <c r="F148" s="27" t="s">
        <v>330</v>
      </c>
      <c r="G148" s="3" t="s">
        <v>177</v>
      </c>
      <c r="H148" s="28">
        <v>100000</v>
      </c>
      <c r="I148" s="13">
        <v>0</v>
      </c>
      <c r="J148" s="13">
        <v>0</v>
      </c>
      <c r="K148" s="12">
        <v>7610</v>
      </c>
      <c r="L148" s="13">
        <v>0</v>
      </c>
      <c r="M148" s="13">
        <v>0</v>
      </c>
      <c r="N148" s="12">
        <v>0</v>
      </c>
      <c r="O148" s="12">
        <v>0</v>
      </c>
      <c r="P148" s="2">
        <v>10000</v>
      </c>
      <c r="Q148" s="12">
        <v>45390</v>
      </c>
      <c r="R148" s="2">
        <v>37000</v>
      </c>
      <c r="S148" s="12">
        <v>0</v>
      </c>
      <c r="T148" s="13">
        <v>0</v>
      </c>
      <c r="U148" s="12">
        <f t="shared" si="3"/>
        <v>0</v>
      </c>
    </row>
    <row r="149" spans="1:21" ht="15.75" customHeight="1" x14ac:dyDescent="0.25">
      <c r="A149" s="26" t="s">
        <v>341</v>
      </c>
      <c r="B149" s="26" t="s">
        <v>486</v>
      </c>
      <c r="C149" s="27" t="s">
        <v>84</v>
      </c>
      <c r="D149" s="27" t="s">
        <v>331</v>
      </c>
      <c r="E149" s="27" t="s">
        <v>331</v>
      </c>
      <c r="F149" s="27" t="s">
        <v>330</v>
      </c>
      <c r="G149" s="3" t="s">
        <v>177</v>
      </c>
      <c r="H149" s="28">
        <v>100000</v>
      </c>
      <c r="I149" s="13">
        <v>0</v>
      </c>
      <c r="J149" s="13">
        <v>0</v>
      </c>
      <c r="K149" s="12">
        <v>16185</v>
      </c>
      <c r="L149" s="13">
        <v>0</v>
      </c>
      <c r="M149" s="13">
        <v>0</v>
      </c>
      <c r="N149" s="12">
        <v>0</v>
      </c>
      <c r="O149" s="2">
        <v>40500</v>
      </c>
      <c r="P149" s="2">
        <v>35000</v>
      </c>
      <c r="Q149" s="12">
        <v>0</v>
      </c>
      <c r="R149" s="12">
        <v>0</v>
      </c>
      <c r="S149" s="2">
        <v>8315</v>
      </c>
      <c r="T149" s="13">
        <v>0</v>
      </c>
      <c r="U149" s="12">
        <f t="shared" si="3"/>
        <v>0</v>
      </c>
    </row>
    <row r="150" spans="1:21" ht="15.75" customHeight="1" x14ac:dyDescent="0.25">
      <c r="A150" s="26" t="s">
        <v>341</v>
      </c>
      <c r="B150" s="26" t="s">
        <v>487</v>
      </c>
      <c r="C150" s="27" t="s">
        <v>85</v>
      </c>
      <c r="D150" s="27" t="s">
        <v>331</v>
      </c>
      <c r="E150" s="27" t="s">
        <v>331</v>
      </c>
      <c r="F150" s="27" t="s">
        <v>330</v>
      </c>
      <c r="G150" s="3" t="s">
        <v>153</v>
      </c>
      <c r="H150" s="28">
        <v>100000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2">
        <v>0</v>
      </c>
      <c r="O150" s="12">
        <v>0</v>
      </c>
      <c r="P150" s="2">
        <v>61415</v>
      </c>
      <c r="Q150" s="12">
        <v>38585</v>
      </c>
      <c r="R150" s="12">
        <v>0</v>
      </c>
      <c r="S150" s="12">
        <v>0</v>
      </c>
      <c r="T150" s="13">
        <v>0</v>
      </c>
      <c r="U150" s="12">
        <f t="shared" si="3"/>
        <v>0</v>
      </c>
    </row>
    <row r="151" spans="1:21" ht="15.75" customHeight="1" x14ac:dyDescent="0.25">
      <c r="A151" s="26" t="s">
        <v>341</v>
      </c>
      <c r="B151" s="26" t="s">
        <v>488</v>
      </c>
      <c r="C151" s="27" t="s">
        <v>86</v>
      </c>
      <c r="D151" s="27" t="s">
        <v>331</v>
      </c>
      <c r="E151" s="27" t="s">
        <v>331</v>
      </c>
      <c r="F151" s="27" t="s">
        <v>330</v>
      </c>
      <c r="G151" s="3" t="s">
        <v>179</v>
      </c>
      <c r="H151" s="28">
        <v>100000</v>
      </c>
      <c r="I151" s="13">
        <v>0</v>
      </c>
      <c r="J151" s="13">
        <v>0</v>
      </c>
      <c r="K151" s="13">
        <v>0</v>
      </c>
      <c r="L151" s="13">
        <v>0</v>
      </c>
      <c r="M151" s="13">
        <v>0</v>
      </c>
      <c r="N151" s="12">
        <v>0</v>
      </c>
      <c r="O151" s="12">
        <v>0</v>
      </c>
      <c r="P151" s="12">
        <v>0</v>
      </c>
      <c r="Q151" s="12">
        <v>100000</v>
      </c>
      <c r="R151" s="12">
        <v>0</v>
      </c>
      <c r="S151" s="12">
        <v>0</v>
      </c>
      <c r="T151" s="13">
        <v>0</v>
      </c>
      <c r="U151" s="12">
        <f t="shared" si="3"/>
        <v>0</v>
      </c>
    </row>
    <row r="152" spans="1:21" ht="15.75" customHeight="1" x14ac:dyDescent="0.25">
      <c r="A152" s="26" t="s">
        <v>341</v>
      </c>
      <c r="B152" s="26" t="s">
        <v>489</v>
      </c>
      <c r="C152" s="27" t="s">
        <v>87</v>
      </c>
      <c r="D152" s="27" t="s">
        <v>330</v>
      </c>
      <c r="E152" s="27" t="s">
        <v>241</v>
      </c>
      <c r="F152" s="27" t="s">
        <v>330</v>
      </c>
      <c r="G152" s="3" t="s">
        <v>179</v>
      </c>
      <c r="H152" s="28">
        <v>100000</v>
      </c>
      <c r="I152" s="13">
        <v>0</v>
      </c>
      <c r="J152" s="13">
        <v>0</v>
      </c>
      <c r="K152" s="12">
        <v>24089</v>
      </c>
      <c r="L152" s="13">
        <v>0</v>
      </c>
      <c r="M152" s="13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">
        <v>24174</v>
      </c>
      <c r="U152" s="12">
        <f t="shared" si="3"/>
        <v>51737</v>
      </c>
    </row>
    <row r="153" spans="1:21" ht="15.75" customHeight="1" x14ac:dyDescent="0.25">
      <c r="A153" s="26" t="s">
        <v>341</v>
      </c>
      <c r="B153" s="26" t="s">
        <v>490</v>
      </c>
      <c r="C153" s="27" t="s">
        <v>88</v>
      </c>
      <c r="D153" s="27" t="s">
        <v>331</v>
      </c>
      <c r="E153" s="27" t="s">
        <v>331</v>
      </c>
      <c r="F153" t="s">
        <v>330</v>
      </c>
      <c r="G153" s="3" t="s">
        <v>168</v>
      </c>
      <c r="H153" s="28">
        <v>100000</v>
      </c>
      <c r="I153" s="13">
        <v>0</v>
      </c>
      <c r="J153" s="13">
        <v>0</v>
      </c>
      <c r="K153" s="12">
        <v>6712</v>
      </c>
      <c r="L153" s="13">
        <v>0</v>
      </c>
      <c r="M153" s="13">
        <v>0</v>
      </c>
      <c r="N153" s="12">
        <v>0</v>
      </c>
      <c r="O153" s="12">
        <v>0</v>
      </c>
      <c r="P153" s="12">
        <v>0</v>
      </c>
      <c r="Q153" s="12">
        <v>0</v>
      </c>
      <c r="R153" s="2">
        <v>54057</v>
      </c>
      <c r="S153" s="2">
        <v>39231</v>
      </c>
      <c r="T153" s="13">
        <v>0</v>
      </c>
      <c r="U153" s="12">
        <f t="shared" si="3"/>
        <v>0</v>
      </c>
    </row>
    <row r="154" spans="1:21" ht="15.75" customHeight="1" x14ac:dyDescent="0.25">
      <c r="A154" s="26" t="s">
        <v>341</v>
      </c>
      <c r="B154" s="26" t="s">
        <v>491</v>
      </c>
      <c r="C154" s="27" t="s">
        <v>89</v>
      </c>
      <c r="D154" s="27" t="s">
        <v>331</v>
      </c>
      <c r="E154" s="27" t="s">
        <v>331</v>
      </c>
      <c r="F154" s="27" t="s">
        <v>330</v>
      </c>
      <c r="G154" s="3" t="s">
        <v>159</v>
      </c>
      <c r="H154" s="28">
        <v>50000</v>
      </c>
      <c r="I154" s="13">
        <v>0</v>
      </c>
      <c r="J154" s="13">
        <v>0</v>
      </c>
      <c r="K154" s="12">
        <v>6106</v>
      </c>
      <c r="L154" s="13">
        <v>0</v>
      </c>
      <c r="M154" s="13">
        <v>0</v>
      </c>
      <c r="N154" s="12">
        <v>0</v>
      </c>
      <c r="O154" s="12">
        <v>0</v>
      </c>
      <c r="P154" s="12">
        <v>0</v>
      </c>
      <c r="Q154" s="12">
        <v>17983</v>
      </c>
      <c r="R154" s="12">
        <v>0</v>
      </c>
      <c r="S154" s="12">
        <v>0</v>
      </c>
      <c r="T154" s="3">
        <v>25911</v>
      </c>
      <c r="U154" s="12">
        <f t="shared" si="3"/>
        <v>0</v>
      </c>
    </row>
    <row r="155" spans="1:21" ht="15.75" customHeight="1" x14ac:dyDescent="0.25">
      <c r="A155" s="26" t="s">
        <v>341</v>
      </c>
      <c r="B155" s="26" t="s">
        <v>492</v>
      </c>
      <c r="C155" s="27" t="s">
        <v>90</v>
      </c>
      <c r="D155" s="27" t="s">
        <v>331</v>
      </c>
      <c r="E155" s="27" t="s">
        <v>331</v>
      </c>
      <c r="F155" s="27" t="s">
        <v>330</v>
      </c>
      <c r="G155" s="3" t="s">
        <v>159</v>
      </c>
      <c r="H155" s="28">
        <v>50000</v>
      </c>
      <c r="I155" s="13">
        <v>0</v>
      </c>
      <c r="J155" s="13">
        <v>0</v>
      </c>
      <c r="K155" s="13">
        <v>0</v>
      </c>
      <c r="L155" s="13">
        <v>0</v>
      </c>
      <c r="M155" s="13">
        <v>0</v>
      </c>
      <c r="N155" s="12">
        <v>0</v>
      </c>
      <c r="O155" s="12">
        <v>0</v>
      </c>
      <c r="P155" s="12">
        <v>0</v>
      </c>
      <c r="Q155" s="12">
        <v>24089</v>
      </c>
      <c r="R155" s="12">
        <v>0</v>
      </c>
      <c r="S155" s="12">
        <v>0</v>
      </c>
      <c r="T155" s="3">
        <v>25911</v>
      </c>
      <c r="U155" s="12">
        <f t="shared" si="3"/>
        <v>0</v>
      </c>
    </row>
    <row r="156" spans="1:21" ht="15.75" customHeight="1" x14ac:dyDescent="0.25">
      <c r="A156" s="26" t="s">
        <v>341</v>
      </c>
      <c r="B156" s="26" t="s">
        <v>493</v>
      </c>
      <c r="C156" s="27" t="s">
        <v>91</v>
      </c>
      <c r="D156" s="27" t="s">
        <v>330</v>
      </c>
      <c r="E156" s="27" t="s">
        <v>241</v>
      </c>
      <c r="F156" s="27" t="s">
        <v>330</v>
      </c>
      <c r="G156" s="3" t="s">
        <v>159</v>
      </c>
      <c r="H156" s="28">
        <v>100000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2">
        <v>0</v>
      </c>
      <c r="O156" s="12">
        <v>0</v>
      </c>
      <c r="P156" s="12">
        <v>0</v>
      </c>
      <c r="Q156" s="12">
        <v>5565</v>
      </c>
      <c r="R156" s="12">
        <v>0</v>
      </c>
      <c r="S156" s="2">
        <v>94435</v>
      </c>
      <c r="T156" s="13">
        <v>0</v>
      </c>
      <c r="U156" s="12">
        <f t="shared" si="3"/>
        <v>0</v>
      </c>
    </row>
    <row r="157" spans="1:21" ht="15.75" customHeight="1" x14ac:dyDescent="0.25">
      <c r="A157" s="26" t="s">
        <v>341</v>
      </c>
      <c r="B157" s="26" t="s">
        <v>494</v>
      </c>
      <c r="C157" s="27" t="s">
        <v>92</v>
      </c>
      <c r="D157" s="27" t="s">
        <v>330</v>
      </c>
      <c r="E157" s="27" t="s">
        <v>241</v>
      </c>
      <c r="F157" s="27" t="s">
        <v>330</v>
      </c>
      <c r="G157" s="3" t="s">
        <v>159</v>
      </c>
      <c r="H157" s="28">
        <v>50000</v>
      </c>
      <c r="I157" s="13">
        <v>0</v>
      </c>
      <c r="J157" s="13">
        <v>0</v>
      </c>
      <c r="K157" s="13">
        <v>0</v>
      </c>
      <c r="L157" s="13">
        <v>0</v>
      </c>
      <c r="M157" s="2">
        <v>40776</v>
      </c>
      <c r="N157" s="12">
        <v>0</v>
      </c>
      <c r="O157" s="12">
        <v>0</v>
      </c>
      <c r="P157" s="12">
        <v>0</v>
      </c>
      <c r="Q157" s="12">
        <v>6106</v>
      </c>
      <c r="R157" s="12">
        <v>0</v>
      </c>
      <c r="S157" s="12">
        <v>0</v>
      </c>
      <c r="T157" s="13">
        <v>0</v>
      </c>
      <c r="U157" s="12">
        <f t="shared" si="3"/>
        <v>3118</v>
      </c>
    </row>
    <row r="158" spans="1:21" ht="15.75" customHeight="1" x14ac:dyDescent="0.25">
      <c r="A158" s="26" t="s">
        <v>341</v>
      </c>
      <c r="B158" s="26" t="s">
        <v>495</v>
      </c>
      <c r="C158" s="27" t="s">
        <v>93</v>
      </c>
      <c r="D158" s="27" t="s">
        <v>331</v>
      </c>
      <c r="E158" s="27" t="s">
        <v>331</v>
      </c>
      <c r="F158" t="s">
        <v>330</v>
      </c>
      <c r="G158" s="3" t="s">
        <v>168</v>
      </c>
      <c r="H158" s="28">
        <v>100000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2">
        <v>9998</v>
      </c>
      <c r="O158" s="2">
        <v>9475</v>
      </c>
      <c r="P158" s="2">
        <v>14555</v>
      </c>
      <c r="Q158" s="12">
        <v>18750</v>
      </c>
      <c r="R158" s="2">
        <v>38245</v>
      </c>
      <c r="S158" s="12">
        <v>0</v>
      </c>
      <c r="T158" s="13">
        <v>8977</v>
      </c>
      <c r="U158" s="12">
        <f t="shared" si="3"/>
        <v>0</v>
      </c>
    </row>
    <row r="159" spans="1:21" ht="15.75" customHeight="1" x14ac:dyDescent="0.25">
      <c r="A159" s="26" t="s">
        <v>341</v>
      </c>
      <c r="B159" s="26" t="s">
        <v>496</v>
      </c>
      <c r="C159" s="27" t="s">
        <v>216</v>
      </c>
      <c r="D159" s="27" t="s">
        <v>331</v>
      </c>
      <c r="E159" s="27" t="s">
        <v>331</v>
      </c>
      <c r="F159" t="s">
        <v>330</v>
      </c>
      <c r="G159" s="3" t="s">
        <v>151</v>
      </c>
      <c r="H159" s="28">
        <v>50000</v>
      </c>
      <c r="I159" s="13">
        <v>0</v>
      </c>
      <c r="J159" s="13">
        <v>0</v>
      </c>
      <c r="K159" s="13">
        <v>0</v>
      </c>
      <c r="L159" s="13">
        <v>0</v>
      </c>
      <c r="M159" s="13">
        <v>0</v>
      </c>
      <c r="N159" s="2">
        <v>50000</v>
      </c>
      <c r="O159" s="12">
        <v>0</v>
      </c>
      <c r="P159" s="12">
        <v>0</v>
      </c>
      <c r="Q159" s="12">
        <v>0</v>
      </c>
      <c r="R159" s="12">
        <v>0</v>
      </c>
      <c r="S159" s="12">
        <v>0</v>
      </c>
      <c r="T159" s="13">
        <v>0</v>
      </c>
      <c r="U159" s="12">
        <f t="shared" si="3"/>
        <v>0</v>
      </c>
    </row>
    <row r="160" spans="1:21" ht="15.75" customHeight="1" x14ac:dyDescent="0.25">
      <c r="A160" s="26" t="s">
        <v>341</v>
      </c>
      <c r="B160" s="26" t="s">
        <v>497</v>
      </c>
      <c r="C160" s="27" t="s">
        <v>94</v>
      </c>
      <c r="D160" s="27" t="s">
        <v>331</v>
      </c>
      <c r="E160" s="27" t="s">
        <v>331</v>
      </c>
      <c r="F160" s="27" t="s">
        <v>330</v>
      </c>
      <c r="G160" s="3" t="s">
        <v>153</v>
      </c>
      <c r="H160" s="28">
        <v>100000</v>
      </c>
      <c r="I160" s="13">
        <v>0</v>
      </c>
      <c r="J160" s="13">
        <v>0</v>
      </c>
      <c r="K160" s="13">
        <v>0</v>
      </c>
      <c r="L160" s="12">
        <v>3268</v>
      </c>
      <c r="M160" s="13">
        <v>0</v>
      </c>
      <c r="N160" s="12">
        <v>0</v>
      </c>
      <c r="O160" s="12">
        <v>0</v>
      </c>
      <c r="P160" s="2">
        <v>96732</v>
      </c>
      <c r="Q160" s="12">
        <v>0</v>
      </c>
      <c r="R160" s="12">
        <v>0</v>
      </c>
      <c r="S160" s="12">
        <v>0</v>
      </c>
      <c r="T160" s="13">
        <v>0</v>
      </c>
      <c r="U160" s="12">
        <f t="shared" si="3"/>
        <v>0</v>
      </c>
    </row>
    <row r="161" spans="1:21" ht="15.75" customHeight="1" x14ac:dyDescent="0.25">
      <c r="A161" s="26" t="s">
        <v>341</v>
      </c>
      <c r="B161" s="26" t="s">
        <v>498</v>
      </c>
      <c r="C161" s="27" t="s">
        <v>95</v>
      </c>
      <c r="D161" s="27" t="s">
        <v>331</v>
      </c>
      <c r="E161" s="27" t="s">
        <v>331</v>
      </c>
      <c r="F161" s="27" t="s">
        <v>330</v>
      </c>
      <c r="G161" s="3" t="s">
        <v>153</v>
      </c>
      <c r="H161" s="28">
        <v>100000</v>
      </c>
      <c r="I161" s="13">
        <v>0</v>
      </c>
      <c r="J161" s="13">
        <v>0</v>
      </c>
      <c r="K161" s="13">
        <v>0</v>
      </c>
      <c r="L161" s="13">
        <v>0</v>
      </c>
      <c r="M161" s="13">
        <v>0</v>
      </c>
      <c r="N161" s="12">
        <v>0</v>
      </c>
      <c r="O161" s="12">
        <v>0</v>
      </c>
      <c r="P161" s="12">
        <v>0</v>
      </c>
      <c r="Q161" s="12">
        <v>0</v>
      </c>
      <c r="R161" s="2">
        <v>100000</v>
      </c>
      <c r="S161" s="12">
        <v>0</v>
      </c>
      <c r="T161" s="13">
        <v>0</v>
      </c>
      <c r="U161" s="12">
        <f t="shared" si="3"/>
        <v>0</v>
      </c>
    </row>
    <row r="162" spans="1:21" ht="15.75" customHeight="1" x14ac:dyDescent="0.25">
      <c r="A162" s="26" t="s">
        <v>341</v>
      </c>
      <c r="B162" s="26" t="s">
        <v>499</v>
      </c>
      <c r="C162" s="27" t="s">
        <v>96</v>
      </c>
      <c r="D162" s="27" t="s">
        <v>330</v>
      </c>
      <c r="E162" s="27" t="s">
        <v>241</v>
      </c>
      <c r="F162" s="27" t="s">
        <v>330</v>
      </c>
      <c r="G162" s="3" t="s">
        <v>159</v>
      </c>
      <c r="H162" s="28">
        <v>35000</v>
      </c>
      <c r="I162" s="13">
        <v>0</v>
      </c>
      <c r="J162" s="13">
        <v>0</v>
      </c>
      <c r="K162" s="13">
        <v>0</v>
      </c>
      <c r="L162" s="12">
        <v>26056</v>
      </c>
      <c r="M162" s="13">
        <v>0</v>
      </c>
      <c r="N162" s="12">
        <v>0</v>
      </c>
      <c r="O162" s="12">
        <v>0</v>
      </c>
      <c r="P162" s="12">
        <v>0</v>
      </c>
      <c r="Q162" s="12">
        <v>0</v>
      </c>
      <c r="R162" s="2">
        <v>6927</v>
      </c>
      <c r="S162" s="12">
        <v>0</v>
      </c>
      <c r="T162" s="3">
        <v>2017</v>
      </c>
      <c r="U162" s="12">
        <f t="shared" si="3"/>
        <v>0</v>
      </c>
    </row>
    <row r="163" spans="1:21" ht="15.75" customHeight="1" x14ac:dyDescent="0.25">
      <c r="A163" s="26" t="s">
        <v>341</v>
      </c>
      <c r="B163" s="26" t="s">
        <v>500</v>
      </c>
      <c r="C163" s="27" t="s">
        <v>97</v>
      </c>
      <c r="D163" s="27" t="s">
        <v>331</v>
      </c>
      <c r="E163" s="27" t="s">
        <v>331</v>
      </c>
      <c r="F163" s="27" t="s">
        <v>330</v>
      </c>
      <c r="G163" s="3" t="s">
        <v>159</v>
      </c>
      <c r="H163" s="28">
        <v>100000</v>
      </c>
      <c r="I163" s="13">
        <v>0</v>
      </c>
      <c r="J163" s="13">
        <v>0</v>
      </c>
      <c r="K163" s="13">
        <v>0</v>
      </c>
      <c r="L163" s="12">
        <v>61031</v>
      </c>
      <c r="M163" s="13">
        <v>0</v>
      </c>
      <c r="N163" s="12">
        <v>0</v>
      </c>
      <c r="O163" s="12">
        <v>0</v>
      </c>
      <c r="P163" s="12">
        <v>0</v>
      </c>
      <c r="Q163" s="12">
        <v>0</v>
      </c>
      <c r="R163" s="2">
        <v>38969</v>
      </c>
      <c r="S163" s="12">
        <v>0</v>
      </c>
      <c r="T163" s="13">
        <v>0</v>
      </c>
      <c r="U163" s="12">
        <f t="shared" si="3"/>
        <v>0</v>
      </c>
    </row>
    <row r="164" spans="1:21" ht="15.75" customHeight="1" x14ac:dyDescent="0.25">
      <c r="A164" s="26" t="s">
        <v>341</v>
      </c>
      <c r="B164" s="26" t="s">
        <v>501</v>
      </c>
      <c r="C164" s="27" t="s">
        <v>98</v>
      </c>
      <c r="D164" s="27" t="s">
        <v>331</v>
      </c>
      <c r="E164" s="27" t="s">
        <v>331</v>
      </c>
      <c r="F164" s="27" t="s">
        <v>330</v>
      </c>
      <c r="G164" s="3" t="s">
        <v>159</v>
      </c>
      <c r="H164" s="28">
        <v>100000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2">
        <v>0</v>
      </c>
      <c r="O164" s="12">
        <v>0</v>
      </c>
      <c r="P164" s="12">
        <v>0</v>
      </c>
      <c r="Q164" s="12">
        <v>0</v>
      </c>
      <c r="R164" s="2">
        <v>100000</v>
      </c>
      <c r="S164" s="12">
        <v>0</v>
      </c>
      <c r="T164" s="13">
        <v>0</v>
      </c>
      <c r="U164" s="12">
        <f t="shared" si="3"/>
        <v>0</v>
      </c>
    </row>
    <row r="165" spans="1:21" x14ac:dyDescent="0.25">
      <c r="A165" s="26" t="s">
        <v>341</v>
      </c>
      <c r="B165" s="26" t="s">
        <v>502</v>
      </c>
      <c r="C165" s="27" t="s">
        <v>99</v>
      </c>
      <c r="D165" s="27" t="s">
        <v>330</v>
      </c>
      <c r="E165" s="27" t="s">
        <v>241</v>
      </c>
      <c r="F165" s="27" t="s">
        <v>331</v>
      </c>
      <c r="G165" s="3" t="s">
        <v>320</v>
      </c>
      <c r="H165" s="28">
        <v>100000</v>
      </c>
      <c r="I165" s="13">
        <v>0</v>
      </c>
      <c r="J165" s="13">
        <v>0</v>
      </c>
      <c r="K165" s="13">
        <v>0</v>
      </c>
      <c r="L165" s="12">
        <v>25381</v>
      </c>
      <c r="M165" s="13">
        <v>0</v>
      </c>
      <c r="N165" s="12">
        <v>0</v>
      </c>
      <c r="O165" s="12">
        <v>0</v>
      </c>
      <c r="P165" s="12">
        <v>0</v>
      </c>
      <c r="Q165" s="12">
        <v>0</v>
      </c>
      <c r="R165" s="12">
        <v>0</v>
      </c>
      <c r="S165" s="2">
        <v>68732</v>
      </c>
      <c r="T165" s="13">
        <v>5887</v>
      </c>
      <c r="U165" s="12">
        <f t="shared" si="3"/>
        <v>0</v>
      </c>
    </row>
    <row r="166" spans="1:21" x14ac:dyDescent="0.25">
      <c r="A166" s="26" t="s">
        <v>341</v>
      </c>
      <c r="B166" s="26" t="s">
        <v>503</v>
      </c>
      <c r="C166" s="27" t="s">
        <v>100</v>
      </c>
      <c r="D166" s="27" t="s">
        <v>331</v>
      </c>
      <c r="E166" s="27" t="s">
        <v>331</v>
      </c>
      <c r="F166" s="27" t="s">
        <v>331</v>
      </c>
      <c r="G166" s="3" t="s">
        <v>320</v>
      </c>
      <c r="H166" s="28">
        <v>100000</v>
      </c>
      <c r="I166" s="13">
        <v>0</v>
      </c>
      <c r="J166" s="13">
        <v>0</v>
      </c>
      <c r="K166" s="13">
        <v>0</v>
      </c>
      <c r="L166" s="12">
        <v>0</v>
      </c>
      <c r="M166" s="13">
        <v>0</v>
      </c>
      <c r="N166" s="12">
        <v>0</v>
      </c>
      <c r="O166" s="12">
        <v>0</v>
      </c>
      <c r="P166" s="12">
        <v>0</v>
      </c>
      <c r="Q166" s="12">
        <v>0</v>
      </c>
      <c r="R166" s="2">
        <v>15452</v>
      </c>
      <c r="S166" s="12">
        <v>0</v>
      </c>
      <c r="T166" s="3">
        <v>84548</v>
      </c>
      <c r="U166" s="12">
        <f t="shared" si="3"/>
        <v>0</v>
      </c>
    </row>
    <row r="167" spans="1:21" x14ac:dyDescent="0.25">
      <c r="A167" s="26" t="s">
        <v>341</v>
      </c>
      <c r="B167" s="26" t="s">
        <v>504</v>
      </c>
      <c r="C167" s="27" t="s">
        <v>180</v>
      </c>
      <c r="D167" s="27" t="s">
        <v>330</v>
      </c>
      <c r="E167" s="27" t="s">
        <v>241</v>
      </c>
      <c r="F167" s="27" t="s">
        <v>331</v>
      </c>
      <c r="G167" s="3" t="s">
        <v>320</v>
      </c>
      <c r="H167" s="28">
        <v>100000</v>
      </c>
      <c r="I167" s="13">
        <v>0</v>
      </c>
      <c r="J167" s="13">
        <v>0</v>
      </c>
      <c r="K167" s="13">
        <v>0</v>
      </c>
      <c r="L167" s="12">
        <v>0</v>
      </c>
      <c r="M167" s="13">
        <v>0</v>
      </c>
      <c r="N167" s="12">
        <v>0</v>
      </c>
      <c r="O167" s="12">
        <v>0</v>
      </c>
      <c r="P167" s="12">
        <v>0</v>
      </c>
      <c r="Q167" s="12">
        <v>0</v>
      </c>
      <c r="R167" s="2">
        <v>970</v>
      </c>
      <c r="S167" s="2">
        <v>49202</v>
      </c>
      <c r="T167" s="3">
        <v>19630</v>
      </c>
      <c r="U167" s="12">
        <f t="shared" si="3"/>
        <v>30198</v>
      </c>
    </row>
    <row r="168" spans="1:21" x14ac:dyDescent="0.25">
      <c r="A168" s="26" t="s">
        <v>341</v>
      </c>
      <c r="B168" s="26" t="s">
        <v>505</v>
      </c>
      <c r="C168" s="27" t="s">
        <v>101</v>
      </c>
      <c r="D168" s="27" t="s">
        <v>331</v>
      </c>
      <c r="E168" s="27" t="s">
        <v>331</v>
      </c>
      <c r="F168" s="27" t="s">
        <v>331</v>
      </c>
      <c r="G168" s="3" t="s">
        <v>320</v>
      </c>
      <c r="H168" s="28">
        <v>100000</v>
      </c>
      <c r="I168" s="13">
        <v>0</v>
      </c>
      <c r="J168" s="13">
        <v>0</v>
      </c>
      <c r="K168" s="13">
        <v>0</v>
      </c>
      <c r="L168" s="2">
        <v>2235</v>
      </c>
      <c r="M168" s="13">
        <v>0</v>
      </c>
      <c r="N168" s="12">
        <v>0</v>
      </c>
      <c r="O168" s="12">
        <v>0</v>
      </c>
      <c r="P168" s="12">
        <v>0</v>
      </c>
      <c r="Q168" s="12">
        <v>0</v>
      </c>
      <c r="R168" s="2">
        <v>23698</v>
      </c>
      <c r="S168" s="2">
        <v>74067</v>
      </c>
      <c r="T168" s="13">
        <v>0</v>
      </c>
      <c r="U168" s="12">
        <f t="shared" si="3"/>
        <v>0</v>
      </c>
    </row>
    <row r="169" spans="1:21" ht="15.75" customHeight="1" x14ac:dyDescent="0.25">
      <c r="A169" s="26" t="s">
        <v>341</v>
      </c>
      <c r="B169" s="26" t="s">
        <v>506</v>
      </c>
      <c r="C169" s="27" t="s">
        <v>102</v>
      </c>
      <c r="D169" s="27" t="s">
        <v>330</v>
      </c>
      <c r="E169" s="27" t="s">
        <v>241</v>
      </c>
      <c r="F169" s="27" t="s">
        <v>330</v>
      </c>
      <c r="G169" s="3" t="s">
        <v>158</v>
      </c>
      <c r="H169" s="28">
        <v>100000</v>
      </c>
      <c r="I169" s="13">
        <v>0</v>
      </c>
      <c r="J169" s="13">
        <v>0</v>
      </c>
      <c r="K169" s="13">
        <v>0</v>
      </c>
      <c r="L169" s="12">
        <v>0</v>
      </c>
      <c r="M169" s="13">
        <v>0</v>
      </c>
      <c r="N169" s="12">
        <v>0</v>
      </c>
      <c r="O169" s="12">
        <v>0</v>
      </c>
      <c r="P169" s="12">
        <v>0</v>
      </c>
      <c r="Q169" s="12">
        <v>0</v>
      </c>
      <c r="R169" s="12">
        <v>0</v>
      </c>
      <c r="S169" s="12">
        <v>0</v>
      </c>
      <c r="T169" s="13">
        <v>0</v>
      </c>
      <c r="U169" s="12">
        <f t="shared" si="3"/>
        <v>100000</v>
      </c>
    </row>
    <row r="170" spans="1:21" ht="15.75" customHeight="1" x14ac:dyDescent="0.25">
      <c r="A170" s="26" t="s">
        <v>341</v>
      </c>
      <c r="B170" s="26" t="s">
        <v>507</v>
      </c>
      <c r="C170" s="27" t="s">
        <v>181</v>
      </c>
      <c r="D170" s="27" t="s">
        <v>330</v>
      </c>
      <c r="E170" s="27" t="s">
        <v>241</v>
      </c>
      <c r="F170" s="27" t="s">
        <v>330</v>
      </c>
      <c r="G170" s="3" t="s">
        <v>158</v>
      </c>
      <c r="H170" s="28">
        <v>100000</v>
      </c>
      <c r="I170" s="13">
        <v>0</v>
      </c>
      <c r="J170" s="13">
        <v>0</v>
      </c>
      <c r="K170" s="13">
        <v>0</v>
      </c>
      <c r="L170" s="12">
        <v>0</v>
      </c>
      <c r="M170" s="13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13">
        <v>0</v>
      </c>
      <c r="U170" s="12">
        <f t="shared" si="3"/>
        <v>100000</v>
      </c>
    </row>
    <row r="171" spans="1:21" ht="15.75" customHeight="1" x14ac:dyDescent="0.25">
      <c r="A171" s="26" t="s">
        <v>341</v>
      </c>
      <c r="B171" s="26" t="s">
        <v>508</v>
      </c>
      <c r="C171" s="27" t="s">
        <v>182</v>
      </c>
      <c r="D171" s="27" t="s">
        <v>330</v>
      </c>
      <c r="E171" s="27" t="s">
        <v>241</v>
      </c>
      <c r="F171" s="27" t="s">
        <v>330</v>
      </c>
      <c r="G171" s="3" t="s">
        <v>158</v>
      </c>
      <c r="H171" s="28">
        <v>100000</v>
      </c>
      <c r="I171" s="13">
        <v>0</v>
      </c>
      <c r="J171" s="13">
        <v>0</v>
      </c>
      <c r="K171" s="13">
        <v>0</v>
      </c>
      <c r="L171" s="13">
        <v>0</v>
      </c>
      <c r="M171" s="13">
        <v>0</v>
      </c>
      <c r="N171" s="12">
        <v>0</v>
      </c>
      <c r="O171" s="12">
        <v>0</v>
      </c>
      <c r="P171" s="12">
        <v>0</v>
      </c>
      <c r="Q171" s="12">
        <v>0</v>
      </c>
      <c r="R171" s="12">
        <v>0</v>
      </c>
      <c r="S171" s="12">
        <v>0</v>
      </c>
      <c r="T171" s="13">
        <v>0</v>
      </c>
      <c r="U171" s="12">
        <f t="shared" si="3"/>
        <v>100000</v>
      </c>
    </row>
    <row r="172" spans="1:21" ht="15.75" customHeight="1" x14ac:dyDescent="0.25">
      <c r="A172" s="26" t="s">
        <v>341</v>
      </c>
      <c r="B172" s="26" t="s">
        <v>509</v>
      </c>
      <c r="C172" s="27" t="s">
        <v>103</v>
      </c>
      <c r="D172" s="27" t="s">
        <v>330</v>
      </c>
      <c r="E172" s="27" t="s">
        <v>241</v>
      </c>
      <c r="F172" s="27" t="s">
        <v>330</v>
      </c>
      <c r="G172" s="3" t="s">
        <v>158</v>
      </c>
      <c r="H172" s="28">
        <v>100000</v>
      </c>
      <c r="I172" s="13">
        <v>0</v>
      </c>
      <c r="J172" s="13">
        <v>0</v>
      </c>
      <c r="K172" s="2">
        <v>1895</v>
      </c>
      <c r="L172" s="13">
        <v>0</v>
      </c>
      <c r="M172" s="13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2">
        <v>2250</v>
      </c>
      <c r="T172" s="13">
        <v>0</v>
      </c>
      <c r="U172" s="12">
        <f t="shared" si="3"/>
        <v>95855</v>
      </c>
    </row>
    <row r="173" spans="1:21" ht="15.75" customHeight="1" x14ac:dyDescent="0.25">
      <c r="A173" s="26" t="s">
        <v>341</v>
      </c>
      <c r="B173" s="26" t="s">
        <v>510</v>
      </c>
      <c r="C173" s="27" t="s">
        <v>104</v>
      </c>
      <c r="D173" s="27" t="s">
        <v>330</v>
      </c>
      <c r="E173" s="27" t="s">
        <v>241</v>
      </c>
      <c r="F173" s="27" t="s">
        <v>330</v>
      </c>
      <c r="G173" s="3" t="s">
        <v>158</v>
      </c>
      <c r="H173" s="28">
        <v>100000</v>
      </c>
      <c r="I173" s="13">
        <v>0</v>
      </c>
      <c r="J173" s="13">
        <v>0</v>
      </c>
      <c r="K173" s="12">
        <v>0</v>
      </c>
      <c r="L173" s="13">
        <v>0</v>
      </c>
      <c r="M173" s="13">
        <v>0</v>
      </c>
      <c r="N173" s="12">
        <v>0</v>
      </c>
      <c r="O173" s="12">
        <v>0</v>
      </c>
      <c r="P173" s="12">
        <v>0</v>
      </c>
      <c r="Q173" s="12">
        <v>0</v>
      </c>
      <c r="R173" s="12">
        <v>0</v>
      </c>
      <c r="S173" s="12">
        <v>0</v>
      </c>
      <c r="T173" s="13">
        <v>0</v>
      </c>
      <c r="U173" s="12">
        <f t="shared" si="3"/>
        <v>100000</v>
      </c>
    </row>
    <row r="174" spans="1:21" ht="15.75" customHeight="1" x14ac:dyDescent="0.25">
      <c r="A174" s="26" t="s">
        <v>341</v>
      </c>
      <c r="B174" s="26" t="s">
        <v>511</v>
      </c>
      <c r="C174" s="27" t="s">
        <v>105</v>
      </c>
      <c r="D174" s="27" t="s">
        <v>331</v>
      </c>
      <c r="E174" s="27" t="s">
        <v>331</v>
      </c>
      <c r="F174" s="27" t="s">
        <v>331</v>
      </c>
      <c r="G174" s="3" t="s">
        <v>175</v>
      </c>
      <c r="H174" s="28">
        <v>100000</v>
      </c>
      <c r="I174" s="13">
        <v>0</v>
      </c>
      <c r="J174" s="13">
        <v>0</v>
      </c>
      <c r="K174" s="12">
        <v>0</v>
      </c>
      <c r="L174" s="13">
        <v>0</v>
      </c>
      <c r="M174" s="13">
        <v>0</v>
      </c>
      <c r="N174" s="12">
        <v>0</v>
      </c>
      <c r="O174" s="12">
        <v>0</v>
      </c>
      <c r="P174" s="12">
        <v>0</v>
      </c>
      <c r="Q174" s="12">
        <v>0</v>
      </c>
      <c r="R174" s="2">
        <v>96732</v>
      </c>
      <c r="S174" s="12">
        <v>0</v>
      </c>
      <c r="T174" s="13">
        <v>3268</v>
      </c>
      <c r="U174" s="12">
        <f t="shared" si="3"/>
        <v>0</v>
      </c>
    </row>
    <row r="175" spans="1:21" ht="15.75" customHeight="1" x14ac:dyDescent="0.25">
      <c r="A175" s="26" t="s">
        <v>341</v>
      </c>
      <c r="B175" s="26" t="s">
        <v>512</v>
      </c>
      <c r="C175" s="27" t="s">
        <v>106</v>
      </c>
      <c r="D175" s="27" t="s">
        <v>331</v>
      </c>
      <c r="E175" s="27" t="s">
        <v>331</v>
      </c>
      <c r="F175" s="27" t="s">
        <v>330</v>
      </c>
      <c r="G175" s="3" t="s">
        <v>183</v>
      </c>
      <c r="H175" s="28">
        <v>50000</v>
      </c>
      <c r="I175" s="13">
        <v>0</v>
      </c>
      <c r="J175" s="13">
        <v>0</v>
      </c>
      <c r="K175" s="2">
        <v>5064</v>
      </c>
      <c r="L175" s="13">
        <v>0</v>
      </c>
      <c r="M175" s="13">
        <v>0</v>
      </c>
      <c r="N175" s="12">
        <v>0</v>
      </c>
      <c r="O175" s="12">
        <v>0</v>
      </c>
      <c r="P175" s="12">
        <v>0</v>
      </c>
      <c r="Q175" s="12">
        <v>0</v>
      </c>
      <c r="R175" s="2">
        <v>4323</v>
      </c>
      <c r="S175" s="2">
        <v>9425</v>
      </c>
      <c r="T175" s="3">
        <v>31188</v>
      </c>
      <c r="U175" s="12">
        <f t="shared" si="3"/>
        <v>0</v>
      </c>
    </row>
    <row r="176" spans="1:21" ht="15.75" customHeight="1" x14ac:dyDescent="0.25">
      <c r="A176" s="26" t="s">
        <v>341</v>
      </c>
      <c r="B176" s="26" t="s">
        <v>513</v>
      </c>
      <c r="C176" s="27" t="s">
        <v>107</v>
      </c>
      <c r="D176" s="27" t="s">
        <v>331</v>
      </c>
      <c r="E176" s="27" t="s">
        <v>331</v>
      </c>
      <c r="F176" s="27" t="s">
        <v>330</v>
      </c>
      <c r="G176" s="3" t="s">
        <v>183</v>
      </c>
      <c r="H176" s="28">
        <v>50000</v>
      </c>
      <c r="I176" s="13">
        <v>0</v>
      </c>
      <c r="J176" s="13">
        <v>0</v>
      </c>
      <c r="K176" s="12">
        <v>0</v>
      </c>
      <c r="L176" s="13">
        <v>0</v>
      </c>
      <c r="M176" s="13">
        <v>0</v>
      </c>
      <c r="N176" s="12">
        <v>0</v>
      </c>
      <c r="O176" s="12">
        <v>0</v>
      </c>
      <c r="P176" s="12">
        <v>0</v>
      </c>
      <c r="Q176" s="12">
        <v>6448</v>
      </c>
      <c r="R176" s="2">
        <v>1936</v>
      </c>
      <c r="S176" s="2">
        <v>9636</v>
      </c>
      <c r="T176" s="3">
        <v>31980</v>
      </c>
      <c r="U176" s="12">
        <f t="shared" si="3"/>
        <v>0</v>
      </c>
    </row>
    <row r="177" spans="1:21" ht="15.75" customHeight="1" x14ac:dyDescent="0.25">
      <c r="A177" s="26" t="s">
        <v>341</v>
      </c>
      <c r="B177" s="26" t="s">
        <v>514</v>
      </c>
      <c r="C177" s="27" t="s">
        <v>184</v>
      </c>
      <c r="D177" s="27" t="s">
        <v>331</v>
      </c>
      <c r="E177" s="27" t="s">
        <v>331</v>
      </c>
      <c r="F177" s="27" t="s">
        <v>330</v>
      </c>
      <c r="G177" s="3" t="s">
        <v>183</v>
      </c>
      <c r="H177" s="28">
        <v>50000</v>
      </c>
      <c r="I177" s="13">
        <v>0</v>
      </c>
      <c r="J177" s="13">
        <v>0</v>
      </c>
      <c r="K177" s="2">
        <v>6661</v>
      </c>
      <c r="L177" s="13">
        <v>0</v>
      </c>
      <c r="M177" s="13">
        <v>0</v>
      </c>
      <c r="N177" s="12">
        <v>0</v>
      </c>
      <c r="O177" s="12">
        <v>0</v>
      </c>
      <c r="P177" s="12">
        <v>0</v>
      </c>
      <c r="Q177" s="12">
        <v>0</v>
      </c>
      <c r="R177" s="2">
        <v>43339</v>
      </c>
      <c r="S177" s="12">
        <v>0</v>
      </c>
      <c r="T177" s="13">
        <v>0</v>
      </c>
      <c r="U177" s="12">
        <f t="shared" si="3"/>
        <v>0</v>
      </c>
    </row>
    <row r="178" spans="1:21" ht="15.75" customHeight="1" x14ac:dyDescent="0.25">
      <c r="A178" s="26" t="s">
        <v>341</v>
      </c>
      <c r="B178" s="26" t="s">
        <v>515</v>
      </c>
      <c r="C178" s="27" t="s">
        <v>108</v>
      </c>
      <c r="D178" s="27" t="s">
        <v>330</v>
      </c>
      <c r="E178" s="27" t="s">
        <v>241</v>
      </c>
      <c r="F178" s="27" t="s">
        <v>330</v>
      </c>
      <c r="G178" s="3" t="s">
        <v>183</v>
      </c>
      <c r="H178" s="28">
        <v>50000</v>
      </c>
      <c r="I178" s="13">
        <v>0</v>
      </c>
      <c r="J178" s="13">
        <v>0</v>
      </c>
      <c r="K178" s="13">
        <v>0</v>
      </c>
      <c r="L178" s="13">
        <v>0</v>
      </c>
      <c r="M178" s="2">
        <v>40997</v>
      </c>
      <c r="N178" s="12">
        <v>0</v>
      </c>
      <c r="O178" s="12">
        <v>0</v>
      </c>
      <c r="P178" s="12">
        <v>0</v>
      </c>
      <c r="Q178" s="12">
        <v>0</v>
      </c>
      <c r="R178" s="2">
        <v>252</v>
      </c>
      <c r="S178" s="2">
        <v>3194</v>
      </c>
      <c r="T178" s="13">
        <v>0</v>
      </c>
      <c r="U178" s="12">
        <f t="shared" si="3"/>
        <v>5557</v>
      </c>
    </row>
    <row r="179" spans="1:21" ht="15.75" customHeight="1" x14ac:dyDescent="0.25">
      <c r="A179" s="26" t="s">
        <v>341</v>
      </c>
      <c r="B179" s="26" t="s">
        <v>516</v>
      </c>
      <c r="C179" s="27" t="s">
        <v>109</v>
      </c>
      <c r="D179" s="27" t="s">
        <v>331</v>
      </c>
      <c r="E179" s="27" t="s">
        <v>331</v>
      </c>
      <c r="F179" s="27" t="s">
        <v>330</v>
      </c>
      <c r="G179" s="3" t="s">
        <v>154</v>
      </c>
      <c r="H179" s="28">
        <v>100000</v>
      </c>
      <c r="I179" s="13">
        <v>0</v>
      </c>
      <c r="J179" s="13">
        <v>0</v>
      </c>
      <c r="K179" s="13">
        <v>0</v>
      </c>
      <c r="L179" s="13">
        <v>0</v>
      </c>
      <c r="M179" s="13">
        <v>0</v>
      </c>
      <c r="N179" s="12">
        <v>0</v>
      </c>
      <c r="O179" s="12">
        <v>0</v>
      </c>
      <c r="P179" s="12">
        <v>0</v>
      </c>
      <c r="Q179" s="12">
        <v>57426</v>
      </c>
      <c r="R179" s="2">
        <v>29202</v>
      </c>
      <c r="S179" s="2">
        <v>13372</v>
      </c>
      <c r="T179" s="13">
        <v>0</v>
      </c>
      <c r="U179" s="12">
        <f t="shared" si="3"/>
        <v>0</v>
      </c>
    </row>
    <row r="180" spans="1:21" ht="15.75" customHeight="1" x14ac:dyDescent="0.25">
      <c r="A180" s="26" t="s">
        <v>341</v>
      </c>
      <c r="B180" s="26" t="s">
        <v>517</v>
      </c>
      <c r="C180" s="27" t="s">
        <v>110</v>
      </c>
      <c r="D180" s="27" t="s">
        <v>331</v>
      </c>
      <c r="E180" s="27" t="s">
        <v>331</v>
      </c>
      <c r="F180" s="27" t="s">
        <v>330</v>
      </c>
      <c r="G180" s="3" t="s">
        <v>179</v>
      </c>
      <c r="H180" s="28">
        <v>100000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2">
        <v>100000</v>
      </c>
      <c r="T180" s="13">
        <v>0</v>
      </c>
      <c r="U180" s="12">
        <f t="shared" si="3"/>
        <v>0</v>
      </c>
    </row>
    <row r="181" spans="1:21" ht="15.75" customHeight="1" x14ac:dyDescent="0.25">
      <c r="A181" s="26" t="s">
        <v>341</v>
      </c>
      <c r="B181" s="26" t="s">
        <v>518</v>
      </c>
      <c r="C181" s="27" t="s">
        <v>111</v>
      </c>
      <c r="D181" s="27" t="s">
        <v>331</v>
      </c>
      <c r="E181" s="27" t="s">
        <v>331</v>
      </c>
      <c r="F181" s="27" t="s">
        <v>330</v>
      </c>
      <c r="G181" s="3" t="s">
        <v>179</v>
      </c>
      <c r="H181" s="28">
        <v>100000</v>
      </c>
      <c r="I181" s="13">
        <v>0</v>
      </c>
      <c r="J181" s="2">
        <v>46287</v>
      </c>
      <c r="K181" s="13">
        <v>0</v>
      </c>
      <c r="L181" s="13">
        <v>0</v>
      </c>
      <c r="M181" s="13">
        <v>0</v>
      </c>
      <c r="N181" s="12">
        <v>0</v>
      </c>
      <c r="O181" s="12">
        <v>0</v>
      </c>
      <c r="P181" s="2">
        <v>53713</v>
      </c>
      <c r="Q181" s="12">
        <v>0</v>
      </c>
      <c r="R181" s="12">
        <v>0</v>
      </c>
      <c r="S181" s="12">
        <v>0</v>
      </c>
      <c r="T181" s="13">
        <v>0</v>
      </c>
      <c r="U181" s="12">
        <f t="shared" si="3"/>
        <v>0</v>
      </c>
    </row>
    <row r="182" spans="1:21" ht="15.75" customHeight="1" x14ac:dyDescent="0.25">
      <c r="A182" s="26" t="s">
        <v>341</v>
      </c>
      <c r="B182" s="26" t="s">
        <v>519</v>
      </c>
      <c r="C182" s="27" t="s">
        <v>112</v>
      </c>
      <c r="D182" s="27" t="s">
        <v>331</v>
      </c>
      <c r="E182" s="27" t="s">
        <v>331</v>
      </c>
      <c r="F182" s="27" t="s">
        <v>330</v>
      </c>
      <c r="G182" s="3" t="s">
        <v>179</v>
      </c>
      <c r="H182" s="28">
        <v>100000</v>
      </c>
      <c r="I182" s="13">
        <v>0</v>
      </c>
      <c r="J182" s="12">
        <v>0</v>
      </c>
      <c r="K182" s="13">
        <v>0</v>
      </c>
      <c r="L182" s="13">
        <v>0</v>
      </c>
      <c r="M182" s="13">
        <v>0</v>
      </c>
      <c r="N182" s="12">
        <v>0</v>
      </c>
      <c r="O182" s="12">
        <v>0</v>
      </c>
      <c r="P182" s="2">
        <v>100000</v>
      </c>
      <c r="Q182" s="12">
        <v>0</v>
      </c>
      <c r="R182" s="12">
        <v>0</v>
      </c>
      <c r="S182" s="12">
        <v>0</v>
      </c>
      <c r="T182" s="13">
        <v>0</v>
      </c>
      <c r="U182" s="12">
        <f t="shared" si="3"/>
        <v>0</v>
      </c>
    </row>
    <row r="183" spans="1:21" ht="15.75" customHeight="1" x14ac:dyDescent="0.25">
      <c r="A183" s="26" t="s">
        <v>341</v>
      </c>
      <c r="B183" s="26" t="s">
        <v>520</v>
      </c>
      <c r="C183" s="27" t="s">
        <v>113</v>
      </c>
      <c r="D183" s="27" t="s">
        <v>331</v>
      </c>
      <c r="E183" s="27" t="s">
        <v>331</v>
      </c>
      <c r="F183" s="27" t="s">
        <v>330</v>
      </c>
      <c r="G183" s="3" t="s">
        <v>179</v>
      </c>
      <c r="H183" s="28">
        <v>100000</v>
      </c>
      <c r="I183" s="13">
        <v>0</v>
      </c>
      <c r="J183" s="2">
        <v>63500</v>
      </c>
      <c r="K183" s="13">
        <v>0</v>
      </c>
      <c r="L183" s="13">
        <v>0</v>
      </c>
      <c r="M183" s="13">
        <v>0</v>
      </c>
      <c r="N183" s="12">
        <v>0</v>
      </c>
      <c r="O183" s="12">
        <v>0</v>
      </c>
      <c r="P183" s="2">
        <v>36500</v>
      </c>
      <c r="Q183" s="12">
        <v>0</v>
      </c>
      <c r="R183" s="12">
        <v>0</v>
      </c>
      <c r="S183" s="12">
        <v>0</v>
      </c>
      <c r="T183" s="13">
        <v>0</v>
      </c>
      <c r="U183" s="12">
        <f t="shared" si="3"/>
        <v>0</v>
      </c>
    </row>
    <row r="184" spans="1:21" ht="15.75" customHeight="1" x14ac:dyDescent="0.25">
      <c r="A184" s="26" t="s">
        <v>341</v>
      </c>
      <c r="B184" s="26" t="s">
        <v>521</v>
      </c>
      <c r="C184" s="27" t="s">
        <v>114</v>
      </c>
      <c r="D184" s="27" t="s">
        <v>331</v>
      </c>
      <c r="E184" s="27" t="s">
        <v>331</v>
      </c>
      <c r="F184" s="27" t="s">
        <v>330</v>
      </c>
      <c r="G184" s="3" t="s">
        <v>179</v>
      </c>
      <c r="H184" s="28">
        <v>100000</v>
      </c>
      <c r="I184" s="13">
        <v>0</v>
      </c>
      <c r="J184" s="12">
        <v>0</v>
      </c>
      <c r="K184" s="13">
        <v>0</v>
      </c>
      <c r="L184" s="13">
        <v>0</v>
      </c>
      <c r="M184" s="2">
        <v>50000</v>
      </c>
      <c r="N184" s="12">
        <v>0</v>
      </c>
      <c r="O184" s="12">
        <v>0</v>
      </c>
      <c r="P184" s="2">
        <v>50000</v>
      </c>
      <c r="Q184" s="12">
        <v>0</v>
      </c>
      <c r="R184" s="12">
        <v>0</v>
      </c>
      <c r="S184" s="12">
        <v>0</v>
      </c>
      <c r="T184" s="13">
        <v>0</v>
      </c>
      <c r="U184" s="12">
        <f t="shared" si="3"/>
        <v>0</v>
      </c>
    </row>
    <row r="185" spans="1:21" ht="15.75" customHeight="1" x14ac:dyDescent="0.25">
      <c r="A185" s="26" t="s">
        <v>341</v>
      </c>
      <c r="B185" s="26" t="s">
        <v>522</v>
      </c>
      <c r="C185" s="27" t="s">
        <v>115</v>
      </c>
      <c r="D185" s="27" t="s">
        <v>330</v>
      </c>
      <c r="E185" s="27" t="s">
        <v>241</v>
      </c>
      <c r="F185" s="27" t="s">
        <v>330</v>
      </c>
      <c r="G185" s="3" t="s">
        <v>179</v>
      </c>
      <c r="H185" s="28">
        <v>100000</v>
      </c>
      <c r="I185" s="13">
        <v>0</v>
      </c>
      <c r="J185" s="12">
        <v>0</v>
      </c>
      <c r="K185" s="13">
        <v>0</v>
      </c>
      <c r="L185" s="13">
        <v>0</v>
      </c>
      <c r="M185" s="13">
        <v>0</v>
      </c>
      <c r="N185" s="12">
        <v>0</v>
      </c>
      <c r="O185" s="12">
        <v>0</v>
      </c>
      <c r="P185" s="12">
        <v>0</v>
      </c>
      <c r="Q185" s="12">
        <v>0</v>
      </c>
      <c r="R185" s="12">
        <v>0</v>
      </c>
      <c r="S185" s="12">
        <v>0</v>
      </c>
      <c r="T185" s="13">
        <v>0</v>
      </c>
      <c r="U185" s="12">
        <f t="shared" si="3"/>
        <v>100000</v>
      </c>
    </row>
    <row r="186" spans="1:21" ht="15.75" customHeight="1" x14ac:dyDescent="0.25">
      <c r="A186" s="26" t="s">
        <v>341</v>
      </c>
      <c r="B186" s="26" t="s">
        <v>523</v>
      </c>
      <c r="C186" s="27" t="s">
        <v>116</v>
      </c>
      <c r="D186" s="27" t="s">
        <v>331</v>
      </c>
      <c r="E186" s="27" t="s">
        <v>331</v>
      </c>
      <c r="F186" s="27" t="s">
        <v>330</v>
      </c>
      <c r="G186" s="3" t="s">
        <v>153</v>
      </c>
      <c r="H186" s="28">
        <v>100000</v>
      </c>
      <c r="I186" s="13">
        <v>0</v>
      </c>
      <c r="J186" s="2">
        <v>19423</v>
      </c>
      <c r="K186" s="13">
        <v>0</v>
      </c>
      <c r="L186" s="2">
        <v>39742</v>
      </c>
      <c r="M186" s="13">
        <v>0</v>
      </c>
      <c r="N186" s="12">
        <v>0</v>
      </c>
      <c r="O186" s="12">
        <v>0</v>
      </c>
      <c r="P186" s="2">
        <v>23360</v>
      </c>
      <c r="Q186" s="12">
        <v>0</v>
      </c>
      <c r="R186" s="12">
        <v>0</v>
      </c>
      <c r="S186" s="2">
        <v>17475</v>
      </c>
      <c r="T186" s="13">
        <v>0</v>
      </c>
      <c r="U186" s="12">
        <f t="shared" si="3"/>
        <v>0</v>
      </c>
    </row>
    <row r="187" spans="1:21" ht="15.75" customHeight="1" x14ac:dyDescent="0.25">
      <c r="A187" s="26" t="s">
        <v>341</v>
      </c>
      <c r="B187" s="26" t="s">
        <v>524</v>
      </c>
      <c r="C187" s="27" t="s">
        <v>117</v>
      </c>
      <c r="D187" s="27" t="s">
        <v>331</v>
      </c>
      <c r="E187" s="27" t="s">
        <v>331</v>
      </c>
      <c r="F187" s="27" t="s">
        <v>330</v>
      </c>
      <c r="G187" s="3" t="s">
        <v>153</v>
      </c>
      <c r="H187" s="28">
        <v>100000</v>
      </c>
      <c r="I187" s="13">
        <v>0</v>
      </c>
      <c r="J187" s="13">
        <v>0</v>
      </c>
      <c r="K187" s="13">
        <v>0</v>
      </c>
      <c r="L187" s="2">
        <v>10000</v>
      </c>
      <c r="M187" s="13">
        <v>0</v>
      </c>
      <c r="N187" s="12">
        <v>0</v>
      </c>
      <c r="O187" s="12">
        <v>0</v>
      </c>
      <c r="P187" s="2">
        <v>40000</v>
      </c>
      <c r="Q187" s="12">
        <v>0</v>
      </c>
      <c r="R187" s="12">
        <v>0</v>
      </c>
      <c r="S187" s="12">
        <v>0</v>
      </c>
      <c r="T187" s="3">
        <v>50000</v>
      </c>
      <c r="U187" s="12">
        <f t="shared" si="3"/>
        <v>0</v>
      </c>
    </row>
    <row r="188" spans="1:21" ht="15.75" customHeight="1" x14ac:dyDescent="0.25">
      <c r="A188" s="26" t="s">
        <v>341</v>
      </c>
      <c r="B188" s="26" t="s">
        <v>525</v>
      </c>
      <c r="C188" s="27" t="s">
        <v>118</v>
      </c>
      <c r="D188" s="27" t="s">
        <v>331</v>
      </c>
      <c r="E188" s="27" t="s">
        <v>331</v>
      </c>
      <c r="F188" s="27" t="s">
        <v>330</v>
      </c>
      <c r="G188" s="3" t="s">
        <v>153</v>
      </c>
      <c r="H188" s="28">
        <v>100000</v>
      </c>
      <c r="I188" s="13">
        <v>0</v>
      </c>
      <c r="J188" s="13">
        <v>0</v>
      </c>
      <c r="K188" s="13">
        <v>0</v>
      </c>
      <c r="L188" s="2">
        <v>71184</v>
      </c>
      <c r="M188" s="13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26385</v>
      </c>
      <c r="T188" s="3">
        <v>2431</v>
      </c>
      <c r="U188" s="12">
        <f t="shared" si="3"/>
        <v>0</v>
      </c>
    </row>
    <row r="189" spans="1:21" ht="15.75" customHeight="1" x14ac:dyDescent="0.25">
      <c r="A189" s="26" t="s">
        <v>341</v>
      </c>
      <c r="B189" s="26" t="s">
        <v>526</v>
      </c>
      <c r="C189" s="27" t="s">
        <v>119</v>
      </c>
      <c r="D189" s="27" t="s">
        <v>331</v>
      </c>
      <c r="E189" s="27" t="s">
        <v>331</v>
      </c>
      <c r="F189" s="27" t="s">
        <v>330</v>
      </c>
      <c r="G189" s="3" t="s">
        <v>153</v>
      </c>
      <c r="H189" s="28">
        <v>100000</v>
      </c>
      <c r="I189" s="13">
        <v>0</v>
      </c>
      <c r="J189" s="13">
        <v>0</v>
      </c>
      <c r="K189" s="13">
        <v>0</v>
      </c>
      <c r="L189" s="2">
        <v>37946</v>
      </c>
      <c r="M189" s="13">
        <v>0</v>
      </c>
      <c r="N189" s="12">
        <v>0</v>
      </c>
      <c r="O189" s="12">
        <v>0</v>
      </c>
      <c r="P189" s="2">
        <v>13713</v>
      </c>
      <c r="Q189" s="12">
        <v>0</v>
      </c>
      <c r="R189" s="12">
        <v>0</v>
      </c>
      <c r="S189" s="2">
        <v>48341</v>
      </c>
      <c r="T189" s="13">
        <v>0</v>
      </c>
      <c r="U189" s="12">
        <f t="shared" si="3"/>
        <v>0</v>
      </c>
    </row>
    <row r="190" spans="1:21" ht="15.75" customHeight="1" x14ac:dyDescent="0.25">
      <c r="A190" s="26" t="s">
        <v>341</v>
      </c>
      <c r="B190" s="26" t="s">
        <v>527</v>
      </c>
      <c r="C190" s="27" t="s">
        <v>120</v>
      </c>
      <c r="D190" s="27" t="s">
        <v>331</v>
      </c>
      <c r="E190" s="27" t="s">
        <v>331</v>
      </c>
      <c r="F190" s="27" t="s">
        <v>330</v>
      </c>
      <c r="G190" s="3" t="s">
        <v>153</v>
      </c>
      <c r="H190" s="28">
        <v>100000</v>
      </c>
      <c r="I190" s="13">
        <v>0</v>
      </c>
      <c r="J190" s="13">
        <v>0</v>
      </c>
      <c r="K190" s="13">
        <v>0</v>
      </c>
      <c r="L190" s="12">
        <v>0</v>
      </c>
      <c r="M190" s="13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2">
        <v>73944</v>
      </c>
      <c r="T190" s="13">
        <v>26056</v>
      </c>
      <c r="U190" s="12">
        <f t="shared" si="3"/>
        <v>0</v>
      </c>
    </row>
    <row r="191" spans="1:21" ht="15.75" customHeight="1" x14ac:dyDescent="0.25">
      <c r="A191" s="26" t="s">
        <v>341</v>
      </c>
      <c r="B191" s="26" t="s">
        <v>528</v>
      </c>
      <c r="C191" s="27" t="s">
        <v>121</v>
      </c>
      <c r="D191" s="27" t="s">
        <v>330</v>
      </c>
      <c r="E191" s="27" t="s">
        <v>241</v>
      </c>
      <c r="F191" s="27" t="s">
        <v>331</v>
      </c>
      <c r="G191" s="3" t="s">
        <v>156</v>
      </c>
      <c r="H191" s="28">
        <v>100000</v>
      </c>
      <c r="I191" s="13">
        <v>0</v>
      </c>
      <c r="J191" s="13">
        <v>0</v>
      </c>
      <c r="K191" s="13">
        <v>0</v>
      </c>
      <c r="L191" s="12">
        <v>0</v>
      </c>
      <c r="M191" s="13">
        <v>0</v>
      </c>
      <c r="N191" s="12">
        <v>0</v>
      </c>
      <c r="O191" s="12">
        <v>0</v>
      </c>
      <c r="P191" s="12">
        <v>0</v>
      </c>
      <c r="Q191" s="12">
        <v>0</v>
      </c>
      <c r="R191" s="12">
        <v>0</v>
      </c>
      <c r="S191" s="12">
        <v>0</v>
      </c>
      <c r="T191" s="13">
        <v>0</v>
      </c>
      <c r="U191" s="12">
        <f t="shared" si="3"/>
        <v>100000</v>
      </c>
    </row>
    <row r="192" spans="1:21" ht="15.75" customHeight="1" x14ac:dyDescent="0.25">
      <c r="A192" s="26" t="s">
        <v>341</v>
      </c>
      <c r="B192" s="26" t="s">
        <v>529</v>
      </c>
      <c r="C192" s="27" t="s">
        <v>122</v>
      </c>
      <c r="D192" s="27" t="s">
        <v>330</v>
      </c>
      <c r="E192" s="27" t="s">
        <v>241</v>
      </c>
      <c r="F192" s="27" t="s">
        <v>330</v>
      </c>
      <c r="G192" s="3" t="s">
        <v>185</v>
      </c>
      <c r="H192" s="28">
        <v>100000</v>
      </c>
      <c r="I192" s="13">
        <v>0</v>
      </c>
      <c r="J192" s="13">
        <v>0</v>
      </c>
      <c r="K192" s="13">
        <v>0</v>
      </c>
      <c r="L192" s="2">
        <v>858</v>
      </c>
      <c r="M192" s="13">
        <v>0</v>
      </c>
      <c r="N192" s="12">
        <v>0</v>
      </c>
      <c r="O192" s="12">
        <v>0</v>
      </c>
      <c r="P192" s="12">
        <v>0</v>
      </c>
      <c r="Q192" s="12">
        <v>2879</v>
      </c>
      <c r="R192" s="12">
        <v>0</v>
      </c>
      <c r="S192" s="2">
        <v>3978</v>
      </c>
      <c r="T192" s="3">
        <v>25000</v>
      </c>
      <c r="U192" s="12">
        <f t="shared" si="3"/>
        <v>67285</v>
      </c>
    </row>
    <row r="193" spans="1:21" ht="15.75" customHeight="1" x14ac:dyDescent="0.25">
      <c r="A193" s="26" t="s">
        <v>341</v>
      </c>
      <c r="B193" s="26" t="s">
        <v>530</v>
      </c>
      <c r="C193" s="27" t="s">
        <v>123</v>
      </c>
      <c r="D193" s="27" t="s">
        <v>330</v>
      </c>
      <c r="E193" s="27" t="s">
        <v>241</v>
      </c>
      <c r="F193" s="27" t="s">
        <v>330</v>
      </c>
      <c r="G193" s="3" t="s">
        <v>185</v>
      </c>
      <c r="H193" s="28">
        <v>100000</v>
      </c>
      <c r="I193" s="13">
        <v>0</v>
      </c>
      <c r="J193" s="13">
        <v>0</v>
      </c>
      <c r="K193" s="13">
        <v>0</v>
      </c>
      <c r="L193" s="12">
        <v>61031</v>
      </c>
      <c r="M193" s="13">
        <v>0</v>
      </c>
      <c r="N193" s="12">
        <v>0</v>
      </c>
      <c r="O193" s="12">
        <v>0</v>
      </c>
      <c r="P193" s="12">
        <v>0</v>
      </c>
      <c r="Q193" s="12">
        <v>0</v>
      </c>
      <c r="R193" s="12">
        <v>0</v>
      </c>
      <c r="S193" s="2">
        <v>6969</v>
      </c>
      <c r="T193" s="3">
        <v>32000</v>
      </c>
      <c r="U193" s="12">
        <f t="shared" si="3"/>
        <v>0</v>
      </c>
    </row>
    <row r="194" spans="1:21" ht="15.75" customHeight="1" x14ac:dyDescent="0.25">
      <c r="A194" s="26" t="s">
        <v>341</v>
      </c>
      <c r="B194" s="26" t="s">
        <v>531</v>
      </c>
      <c r="C194" s="27" t="s">
        <v>124</v>
      </c>
      <c r="D194" s="27" t="s">
        <v>330</v>
      </c>
      <c r="E194" s="27" t="s">
        <v>241</v>
      </c>
      <c r="F194" s="27" t="s">
        <v>330</v>
      </c>
      <c r="G194" s="3" t="s">
        <v>185</v>
      </c>
      <c r="H194" s="28">
        <v>100000</v>
      </c>
      <c r="I194" s="13">
        <v>0</v>
      </c>
      <c r="J194" s="13">
        <v>0</v>
      </c>
      <c r="K194" s="13">
        <v>0</v>
      </c>
      <c r="L194" s="12">
        <v>55683</v>
      </c>
      <c r="M194" s="13">
        <v>0</v>
      </c>
      <c r="N194" s="2">
        <v>8125</v>
      </c>
      <c r="O194" s="12">
        <v>0</v>
      </c>
      <c r="P194" s="12">
        <v>0</v>
      </c>
      <c r="Q194" s="12">
        <v>7330</v>
      </c>
      <c r="R194" s="12">
        <v>0</v>
      </c>
      <c r="S194" s="2">
        <v>28862</v>
      </c>
      <c r="T194" s="13">
        <v>0</v>
      </c>
      <c r="U194" s="12">
        <f t="shared" si="3"/>
        <v>0</v>
      </c>
    </row>
    <row r="195" spans="1:21" ht="15.75" customHeight="1" x14ac:dyDescent="0.25">
      <c r="A195" s="26" t="s">
        <v>341</v>
      </c>
      <c r="B195" s="26" t="s">
        <v>532</v>
      </c>
      <c r="C195" s="27" t="s">
        <v>125</v>
      </c>
      <c r="D195" s="27" t="s">
        <v>330</v>
      </c>
      <c r="E195" s="27" t="s">
        <v>241</v>
      </c>
      <c r="F195" s="27" t="s">
        <v>330</v>
      </c>
      <c r="G195" s="3" t="s">
        <v>185</v>
      </c>
      <c r="H195" s="28">
        <v>100000</v>
      </c>
      <c r="I195" s="13">
        <v>0</v>
      </c>
      <c r="J195" s="13">
        <v>0</v>
      </c>
      <c r="K195" s="13">
        <v>0</v>
      </c>
      <c r="L195" s="13">
        <v>0</v>
      </c>
      <c r="M195" s="13">
        <v>0</v>
      </c>
      <c r="N195" s="12">
        <v>0</v>
      </c>
      <c r="O195" s="12">
        <v>0</v>
      </c>
      <c r="P195" s="12">
        <v>0</v>
      </c>
      <c r="Q195" s="12">
        <v>0</v>
      </c>
      <c r="R195" s="12">
        <v>0</v>
      </c>
      <c r="S195" s="2">
        <v>2716</v>
      </c>
      <c r="T195" s="13">
        <v>0</v>
      </c>
      <c r="U195" s="12">
        <f t="shared" si="3"/>
        <v>97284</v>
      </c>
    </row>
    <row r="196" spans="1:21" ht="15.75" customHeight="1" x14ac:dyDescent="0.25">
      <c r="A196" s="26" t="s">
        <v>341</v>
      </c>
      <c r="B196" s="26" t="s">
        <v>533</v>
      </c>
      <c r="C196" s="27" t="s">
        <v>126</v>
      </c>
      <c r="D196" s="27" t="s">
        <v>330</v>
      </c>
      <c r="E196" s="27" t="s">
        <v>241</v>
      </c>
      <c r="F196" s="27" t="s">
        <v>330</v>
      </c>
      <c r="G196" s="3" t="s">
        <v>183</v>
      </c>
      <c r="H196" s="28">
        <v>50000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2">
        <v>0</v>
      </c>
      <c r="O196" s="12">
        <v>0</v>
      </c>
      <c r="P196" s="2">
        <v>6700</v>
      </c>
      <c r="Q196" s="12">
        <v>0</v>
      </c>
      <c r="R196" s="12">
        <v>0</v>
      </c>
      <c r="S196" s="12">
        <v>0</v>
      </c>
      <c r="T196" s="3">
        <v>13078</v>
      </c>
      <c r="U196" s="12">
        <f t="shared" si="3"/>
        <v>30222</v>
      </c>
    </row>
    <row r="197" spans="1:21" ht="15.75" customHeight="1" x14ac:dyDescent="0.25">
      <c r="A197" s="26" t="s">
        <v>341</v>
      </c>
      <c r="B197" s="26" t="s">
        <v>534</v>
      </c>
      <c r="C197" s="27" t="s">
        <v>127</v>
      </c>
      <c r="D197" s="27" t="s">
        <v>331</v>
      </c>
      <c r="E197" s="27" t="s">
        <v>331</v>
      </c>
      <c r="F197" s="27" t="s">
        <v>331</v>
      </c>
      <c r="G197" s="3" t="s">
        <v>156</v>
      </c>
      <c r="H197" s="28">
        <v>100000</v>
      </c>
      <c r="I197" s="13">
        <v>0</v>
      </c>
      <c r="J197" s="13">
        <v>0</v>
      </c>
      <c r="K197" s="13">
        <v>0</v>
      </c>
      <c r="L197" s="13">
        <v>0</v>
      </c>
      <c r="M197" s="13">
        <v>0</v>
      </c>
      <c r="N197" s="2">
        <v>50990</v>
      </c>
      <c r="O197" s="12">
        <v>0</v>
      </c>
      <c r="P197" s="2">
        <v>49010</v>
      </c>
      <c r="Q197" s="12">
        <v>0</v>
      </c>
      <c r="R197" s="12">
        <v>0</v>
      </c>
      <c r="S197" s="12">
        <v>0</v>
      </c>
      <c r="T197" s="13">
        <v>0</v>
      </c>
      <c r="U197" s="12">
        <f t="shared" si="3"/>
        <v>0</v>
      </c>
    </row>
    <row r="198" spans="1:21" ht="15.75" customHeight="1" x14ac:dyDescent="0.25">
      <c r="A198" s="26" t="s">
        <v>341</v>
      </c>
      <c r="B198" s="26" t="s">
        <v>535</v>
      </c>
      <c r="C198" s="27" t="s">
        <v>128</v>
      </c>
      <c r="D198" s="27" t="s">
        <v>331</v>
      </c>
      <c r="E198" s="27" t="s">
        <v>331</v>
      </c>
      <c r="F198" s="27" t="s">
        <v>331</v>
      </c>
      <c r="G198" s="3" t="s">
        <v>156</v>
      </c>
      <c r="H198" s="28">
        <v>100000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2">
        <v>0</v>
      </c>
      <c r="O198" s="12">
        <v>0</v>
      </c>
      <c r="P198" s="12">
        <v>0</v>
      </c>
      <c r="Q198" s="12">
        <v>100000</v>
      </c>
      <c r="R198" s="12">
        <v>0</v>
      </c>
      <c r="S198" s="12">
        <v>0</v>
      </c>
      <c r="T198" s="13">
        <v>0</v>
      </c>
      <c r="U198" s="12">
        <f t="shared" si="3"/>
        <v>0</v>
      </c>
    </row>
    <row r="199" spans="1:21" ht="15.75" customHeight="1" x14ac:dyDescent="0.25">
      <c r="A199" s="26" t="s">
        <v>341</v>
      </c>
      <c r="B199" s="26" t="s">
        <v>536</v>
      </c>
      <c r="C199" s="27" t="s">
        <v>129</v>
      </c>
      <c r="D199" s="27" t="s">
        <v>331</v>
      </c>
      <c r="E199" s="27" t="s">
        <v>331</v>
      </c>
      <c r="F199" s="27" t="s">
        <v>331</v>
      </c>
      <c r="G199" s="3" t="s">
        <v>156</v>
      </c>
      <c r="H199" s="28">
        <v>100000</v>
      </c>
      <c r="I199" s="13">
        <v>0</v>
      </c>
      <c r="J199" s="12">
        <v>0</v>
      </c>
      <c r="K199" s="13">
        <v>0</v>
      </c>
      <c r="L199" s="13">
        <v>0</v>
      </c>
      <c r="M199" s="13">
        <v>0</v>
      </c>
      <c r="N199" s="12">
        <v>0</v>
      </c>
      <c r="O199" s="12">
        <v>0</v>
      </c>
      <c r="P199" s="2">
        <v>100000</v>
      </c>
      <c r="Q199" s="12">
        <v>0</v>
      </c>
      <c r="R199" s="12">
        <v>0</v>
      </c>
      <c r="S199" s="12">
        <v>0</v>
      </c>
      <c r="T199" s="13">
        <v>0</v>
      </c>
      <c r="U199" s="12">
        <f t="shared" si="3"/>
        <v>0</v>
      </c>
    </row>
    <row r="200" spans="1:21" ht="15.75" customHeight="1" x14ac:dyDescent="0.25">
      <c r="A200" s="26" t="s">
        <v>341</v>
      </c>
      <c r="B200" s="26" t="s">
        <v>537</v>
      </c>
      <c r="C200" s="27" t="s">
        <v>130</v>
      </c>
      <c r="D200" s="27" t="s">
        <v>330</v>
      </c>
      <c r="E200" s="27" t="s">
        <v>241</v>
      </c>
      <c r="F200" s="27" t="s">
        <v>331</v>
      </c>
      <c r="G200" s="3" t="s">
        <v>186</v>
      </c>
      <c r="H200" s="28">
        <v>100000</v>
      </c>
      <c r="I200" s="13">
        <v>0</v>
      </c>
      <c r="J200" s="12">
        <v>0</v>
      </c>
      <c r="K200" s="13">
        <v>0</v>
      </c>
      <c r="L200" s="13">
        <v>0</v>
      </c>
      <c r="M200" s="2">
        <v>90811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13">
        <v>0</v>
      </c>
      <c r="U200" s="12">
        <f t="shared" si="3"/>
        <v>9189</v>
      </c>
    </row>
    <row r="201" spans="1:21" ht="15.75" customHeight="1" x14ac:dyDescent="0.25">
      <c r="A201" s="26" t="s">
        <v>341</v>
      </c>
      <c r="B201" s="26" t="s">
        <v>538</v>
      </c>
      <c r="C201" s="27" t="s">
        <v>187</v>
      </c>
      <c r="D201" s="27" t="s">
        <v>330</v>
      </c>
      <c r="E201" s="27" t="s">
        <v>241</v>
      </c>
      <c r="F201" s="27" t="s">
        <v>331</v>
      </c>
      <c r="G201" s="3" t="s">
        <v>186</v>
      </c>
      <c r="H201" s="28">
        <v>100000</v>
      </c>
      <c r="I201" s="13">
        <v>0</v>
      </c>
      <c r="J201" s="12">
        <v>0</v>
      </c>
      <c r="K201" s="13">
        <v>0</v>
      </c>
      <c r="L201" s="13">
        <v>0</v>
      </c>
      <c r="M201" s="13">
        <v>0</v>
      </c>
      <c r="N201" s="12">
        <v>0</v>
      </c>
      <c r="O201" s="12">
        <v>0</v>
      </c>
      <c r="P201" s="12">
        <v>0</v>
      </c>
      <c r="Q201" s="12">
        <v>0</v>
      </c>
      <c r="R201" s="12">
        <v>0</v>
      </c>
      <c r="S201" s="12">
        <v>0</v>
      </c>
      <c r="T201" s="13">
        <v>0</v>
      </c>
      <c r="U201" s="12">
        <f t="shared" si="3"/>
        <v>100000</v>
      </c>
    </row>
    <row r="202" spans="1:21" ht="15.75" customHeight="1" x14ac:dyDescent="0.25">
      <c r="A202" s="26" t="s">
        <v>341</v>
      </c>
      <c r="B202" s="26" t="s">
        <v>539</v>
      </c>
      <c r="C202" s="27" t="s">
        <v>131</v>
      </c>
      <c r="D202" s="27" t="s">
        <v>331</v>
      </c>
      <c r="E202" s="27" t="s">
        <v>331</v>
      </c>
      <c r="F202" s="27" t="s">
        <v>331</v>
      </c>
      <c r="G202" s="3" t="s">
        <v>186</v>
      </c>
      <c r="H202" s="28">
        <v>100000</v>
      </c>
      <c r="I202" s="13">
        <v>0</v>
      </c>
      <c r="J202" s="12">
        <v>0</v>
      </c>
      <c r="K202" s="13">
        <v>0</v>
      </c>
      <c r="L202" s="13">
        <v>0</v>
      </c>
      <c r="M202" s="13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25381</v>
      </c>
      <c r="S202" s="3">
        <v>74619</v>
      </c>
      <c r="T202" s="13">
        <v>0</v>
      </c>
      <c r="U202" s="12">
        <f t="shared" si="3"/>
        <v>0</v>
      </c>
    </row>
    <row r="203" spans="1:21" ht="15.75" customHeight="1" x14ac:dyDescent="0.25">
      <c r="A203" s="26" t="s">
        <v>341</v>
      </c>
      <c r="B203" s="26" t="s">
        <v>540</v>
      </c>
      <c r="C203" s="27" t="s">
        <v>132</v>
      </c>
      <c r="D203" s="27" t="s">
        <v>330</v>
      </c>
      <c r="E203" s="27" t="s">
        <v>241</v>
      </c>
      <c r="F203" s="27" t="s">
        <v>331</v>
      </c>
      <c r="G203" s="3" t="s">
        <v>186</v>
      </c>
      <c r="H203" s="28">
        <v>100000</v>
      </c>
      <c r="I203" s="13">
        <v>0</v>
      </c>
      <c r="J203" s="2">
        <v>5004</v>
      </c>
      <c r="K203" s="13">
        <v>0</v>
      </c>
      <c r="L203" s="13">
        <v>0</v>
      </c>
      <c r="M203" s="13">
        <v>0</v>
      </c>
      <c r="N203" s="12">
        <v>0</v>
      </c>
      <c r="O203" s="12">
        <v>0</v>
      </c>
      <c r="P203" s="12">
        <v>0</v>
      </c>
      <c r="Q203" s="12">
        <v>0</v>
      </c>
      <c r="R203" s="12">
        <v>0</v>
      </c>
      <c r="S203" s="2">
        <v>1695</v>
      </c>
      <c r="T203" s="13">
        <v>0</v>
      </c>
      <c r="U203" s="12">
        <f t="shared" si="3"/>
        <v>93301</v>
      </c>
    </row>
    <row r="204" spans="1:21" ht="15.75" customHeight="1" x14ac:dyDescent="0.25">
      <c r="A204" s="26" t="s">
        <v>341</v>
      </c>
      <c r="B204" s="26" t="s">
        <v>541</v>
      </c>
      <c r="C204" s="27" t="s">
        <v>133</v>
      </c>
      <c r="D204" s="27" t="s">
        <v>330</v>
      </c>
      <c r="E204" s="27" t="s">
        <v>241</v>
      </c>
      <c r="F204" s="27" t="s">
        <v>331</v>
      </c>
      <c r="G204" s="3" t="s">
        <v>186</v>
      </c>
      <c r="H204" s="28">
        <v>100000</v>
      </c>
      <c r="I204" s="13">
        <v>0</v>
      </c>
      <c r="J204" s="12">
        <v>0</v>
      </c>
      <c r="K204" s="13">
        <v>0</v>
      </c>
      <c r="L204" s="13">
        <v>0</v>
      </c>
      <c r="M204" s="13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2">
        <v>100000</v>
      </c>
      <c r="T204" s="13">
        <v>0</v>
      </c>
      <c r="U204" s="12">
        <f t="shared" si="3"/>
        <v>0</v>
      </c>
    </row>
    <row r="205" spans="1:21" ht="15.75" customHeight="1" x14ac:dyDescent="0.25">
      <c r="A205" s="26" t="s">
        <v>341</v>
      </c>
      <c r="B205" s="26" t="s">
        <v>542</v>
      </c>
      <c r="C205" s="27" t="s">
        <v>134</v>
      </c>
      <c r="D205" s="27" t="s">
        <v>330</v>
      </c>
      <c r="E205" s="27" t="s">
        <v>241</v>
      </c>
      <c r="F205" s="27" t="s">
        <v>330</v>
      </c>
      <c r="G205" s="3" t="s">
        <v>158</v>
      </c>
      <c r="H205" s="28">
        <v>100000</v>
      </c>
      <c r="I205" s="13">
        <v>0</v>
      </c>
      <c r="J205" s="12">
        <v>0</v>
      </c>
      <c r="K205" s="13">
        <v>0</v>
      </c>
      <c r="L205" s="13">
        <v>0</v>
      </c>
      <c r="M205" s="13">
        <v>0</v>
      </c>
      <c r="N205" s="12">
        <v>0</v>
      </c>
      <c r="O205" s="12">
        <v>0</v>
      </c>
      <c r="P205" s="12">
        <v>0</v>
      </c>
      <c r="Q205" s="12">
        <v>0</v>
      </c>
      <c r="R205" s="12">
        <v>0</v>
      </c>
      <c r="S205" s="12">
        <v>0</v>
      </c>
      <c r="T205" s="13">
        <v>0</v>
      </c>
      <c r="U205" s="12">
        <f t="shared" si="3"/>
        <v>100000</v>
      </c>
    </row>
    <row r="206" spans="1:21" ht="15.75" customHeight="1" x14ac:dyDescent="0.25">
      <c r="A206" s="26" t="s">
        <v>341</v>
      </c>
      <c r="B206" s="26" t="s">
        <v>543</v>
      </c>
      <c r="C206" s="27" t="s">
        <v>135</v>
      </c>
      <c r="D206" s="27" t="s">
        <v>330</v>
      </c>
      <c r="E206" s="27" t="s">
        <v>241</v>
      </c>
      <c r="F206" s="27" t="s">
        <v>330</v>
      </c>
      <c r="G206" s="3" t="s">
        <v>158</v>
      </c>
      <c r="H206" s="28">
        <v>100000</v>
      </c>
      <c r="I206" s="13">
        <v>0</v>
      </c>
      <c r="J206" s="12">
        <v>0</v>
      </c>
      <c r="K206" s="13">
        <v>0</v>
      </c>
      <c r="L206" s="13">
        <v>0</v>
      </c>
      <c r="M206" s="13">
        <v>0</v>
      </c>
      <c r="N206" s="12">
        <v>0</v>
      </c>
      <c r="O206" s="12">
        <v>0</v>
      </c>
      <c r="P206" s="12">
        <v>0</v>
      </c>
      <c r="Q206" s="12">
        <v>3092</v>
      </c>
      <c r="R206" s="2">
        <v>4303</v>
      </c>
      <c r="S206" s="2">
        <v>9107</v>
      </c>
      <c r="T206" s="3">
        <v>9422</v>
      </c>
      <c r="U206" s="12">
        <f t="shared" si="3"/>
        <v>74076</v>
      </c>
    </row>
    <row r="207" spans="1:21" ht="15.75" customHeight="1" x14ac:dyDescent="0.25">
      <c r="A207" s="26" t="s">
        <v>341</v>
      </c>
      <c r="B207" s="26" t="s">
        <v>544</v>
      </c>
      <c r="C207" s="27" t="s">
        <v>136</v>
      </c>
      <c r="D207" s="27" t="s">
        <v>330</v>
      </c>
      <c r="E207" s="27" t="s">
        <v>241</v>
      </c>
      <c r="F207" s="27" t="s">
        <v>330</v>
      </c>
      <c r="G207" s="3" t="s">
        <v>158</v>
      </c>
      <c r="H207" s="28">
        <v>100000</v>
      </c>
      <c r="I207" s="13">
        <v>0</v>
      </c>
      <c r="J207" s="12">
        <v>0</v>
      </c>
      <c r="K207" s="13">
        <v>0</v>
      </c>
      <c r="L207" s="13">
        <v>0</v>
      </c>
      <c r="M207" s="13">
        <v>0</v>
      </c>
      <c r="N207" s="12">
        <v>0</v>
      </c>
      <c r="O207" s="12">
        <v>0</v>
      </c>
      <c r="P207" s="12">
        <v>0</v>
      </c>
      <c r="Q207" s="12">
        <v>0</v>
      </c>
      <c r="R207" s="12">
        <v>0</v>
      </c>
      <c r="S207" s="12">
        <v>0</v>
      </c>
      <c r="T207" s="13">
        <v>0</v>
      </c>
      <c r="U207" s="12">
        <f t="shared" ref="U207:U270" si="4">H207-(I207+J207+K207+L207+M207+N207+O207+P207+Q207+R207+S207+T207)</f>
        <v>100000</v>
      </c>
    </row>
    <row r="208" spans="1:21" ht="15.75" customHeight="1" x14ac:dyDescent="0.25">
      <c r="A208" s="26" t="s">
        <v>341</v>
      </c>
      <c r="B208" s="26" t="s">
        <v>545</v>
      </c>
      <c r="C208" s="27" t="s">
        <v>137</v>
      </c>
      <c r="D208" s="27" t="s">
        <v>330</v>
      </c>
      <c r="E208" s="27" t="s">
        <v>241</v>
      </c>
      <c r="F208" s="27" t="s">
        <v>330</v>
      </c>
      <c r="G208" s="3" t="s">
        <v>158</v>
      </c>
      <c r="H208" s="28">
        <v>100000</v>
      </c>
      <c r="I208" s="13">
        <v>0</v>
      </c>
      <c r="J208" s="12">
        <v>0</v>
      </c>
      <c r="K208" s="13">
        <v>0</v>
      </c>
      <c r="L208" s="13">
        <v>0</v>
      </c>
      <c r="M208" s="13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13">
        <v>0</v>
      </c>
      <c r="U208" s="12">
        <f t="shared" si="4"/>
        <v>100000</v>
      </c>
    </row>
    <row r="209" spans="1:21" ht="15.75" customHeight="1" x14ac:dyDescent="0.25">
      <c r="A209" s="26" t="s">
        <v>341</v>
      </c>
      <c r="B209" s="26" t="s">
        <v>546</v>
      </c>
      <c r="C209" s="27" t="s">
        <v>138</v>
      </c>
      <c r="D209" s="27" t="s">
        <v>330</v>
      </c>
      <c r="E209" s="27" t="s">
        <v>241</v>
      </c>
      <c r="F209" s="27" t="s">
        <v>330</v>
      </c>
      <c r="G209" s="3" t="s">
        <v>158</v>
      </c>
      <c r="H209" s="28">
        <v>100000</v>
      </c>
      <c r="I209" s="13">
        <v>0</v>
      </c>
      <c r="J209" s="12">
        <v>0</v>
      </c>
      <c r="K209" s="13">
        <v>0</v>
      </c>
      <c r="L209" s="13">
        <v>0</v>
      </c>
      <c r="M209" s="13">
        <v>0</v>
      </c>
      <c r="N209" s="12">
        <v>0</v>
      </c>
      <c r="O209" s="12">
        <v>0</v>
      </c>
      <c r="P209" s="12">
        <v>0</v>
      </c>
      <c r="Q209" s="12">
        <v>0</v>
      </c>
      <c r="R209" s="12">
        <v>0</v>
      </c>
      <c r="S209" s="2">
        <v>60715</v>
      </c>
      <c r="T209" s="13">
        <v>0</v>
      </c>
      <c r="U209" s="12">
        <f t="shared" si="4"/>
        <v>39285</v>
      </c>
    </row>
    <row r="210" spans="1:21" ht="15.75" customHeight="1" x14ac:dyDescent="0.25">
      <c r="A210" s="26" t="s">
        <v>341</v>
      </c>
      <c r="B210" s="26" t="s">
        <v>547</v>
      </c>
      <c r="C210" s="27" t="s">
        <v>139</v>
      </c>
      <c r="D210" s="27" t="s">
        <v>331</v>
      </c>
      <c r="E210" s="27" t="s">
        <v>331</v>
      </c>
      <c r="F210" s="27" t="s">
        <v>331</v>
      </c>
      <c r="G210" s="3" t="s">
        <v>156</v>
      </c>
      <c r="H210" s="28">
        <v>100000</v>
      </c>
      <c r="I210" s="13">
        <v>0</v>
      </c>
      <c r="J210" s="12">
        <v>0</v>
      </c>
      <c r="K210" s="13">
        <v>0</v>
      </c>
      <c r="L210" s="13">
        <v>0</v>
      </c>
      <c r="M210" s="13">
        <v>0</v>
      </c>
      <c r="N210" s="12">
        <v>0</v>
      </c>
      <c r="O210" s="12">
        <v>0</v>
      </c>
      <c r="P210" s="2">
        <v>100000</v>
      </c>
      <c r="Q210" s="12">
        <v>0</v>
      </c>
      <c r="R210" s="12">
        <v>0</v>
      </c>
      <c r="S210" s="12">
        <v>0</v>
      </c>
      <c r="T210" s="13">
        <v>0</v>
      </c>
      <c r="U210" s="12">
        <f t="shared" si="4"/>
        <v>0</v>
      </c>
    </row>
    <row r="211" spans="1:21" ht="15.75" customHeight="1" x14ac:dyDescent="0.25">
      <c r="A211" s="26" t="s">
        <v>341</v>
      </c>
      <c r="B211" s="26" t="s">
        <v>548</v>
      </c>
      <c r="C211" s="27" t="s">
        <v>140</v>
      </c>
      <c r="D211" s="27" t="s">
        <v>330</v>
      </c>
      <c r="E211" s="27" t="s">
        <v>241</v>
      </c>
      <c r="F211" s="27" t="s">
        <v>331</v>
      </c>
      <c r="G211" s="3" t="s">
        <v>157</v>
      </c>
      <c r="H211" s="28">
        <v>100000</v>
      </c>
      <c r="I211" s="13">
        <v>0</v>
      </c>
      <c r="J211" s="12">
        <v>0</v>
      </c>
      <c r="K211" s="13">
        <v>0</v>
      </c>
      <c r="L211" s="13">
        <v>0</v>
      </c>
      <c r="M211" s="13">
        <v>0</v>
      </c>
      <c r="N211" s="2">
        <v>20710</v>
      </c>
      <c r="O211" s="12">
        <v>0</v>
      </c>
      <c r="P211" s="12">
        <v>0</v>
      </c>
      <c r="Q211" s="12">
        <v>0</v>
      </c>
      <c r="R211" s="2">
        <v>12500</v>
      </c>
      <c r="S211" s="12">
        <v>0</v>
      </c>
      <c r="T211" s="3">
        <v>5000</v>
      </c>
      <c r="U211" s="12">
        <f t="shared" si="4"/>
        <v>61790</v>
      </c>
    </row>
    <row r="212" spans="1:21" ht="15.75" customHeight="1" x14ac:dyDescent="0.25">
      <c r="A212" s="26" t="s">
        <v>341</v>
      </c>
      <c r="B212" s="26" t="s">
        <v>549</v>
      </c>
      <c r="C212" s="27" t="s">
        <v>141</v>
      </c>
      <c r="D212" s="27" t="s">
        <v>330</v>
      </c>
      <c r="E212" s="27" t="s">
        <v>241</v>
      </c>
      <c r="F212" s="27" t="s">
        <v>331</v>
      </c>
      <c r="G212" s="3" t="s">
        <v>157</v>
      </c>
      <c r="H212" s="28">
        <v>100000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">
        <v>20299</v>
      </c>
      <c r="U212" s="12">
        <f t="shared" si="4"/>
        <v>79701</v>
      </c>
    </row>
    <row r="213" spans="1:21" ht="15.75" customHeight="1" x14ac:dyDescent="0.25">
      <c r="A213" s="26" t="s">
        <v>341</v>
      </c>
      <c r="B213" s="26" t="s">
        <v>550</v>
      </c>
      <c r="C213" s="27" t="s">
        <v>142</v>
      </c>
      <c r="D213" s="27" t="s">
        <v>330</v>
      </c>
      <c r="E213" s="27" t="s">
        <v>241</v>
      </c>
      <c r="F213" s="27" t="s">
        <v>330</v>
      </c>
      <c r="G213" s="3" t="s">
        <v>158</v>
      </c>
      <c r="H213" s="28">
        <v>100000</v>
      </c>
      <c r="I213" s="13">
        <v>0</v>
      </c>
      <c r="J213" s="13">
        <v>0</v>
      </c>
      <c r="K213" s="13">
        <v>0</v>
      </c>
      <c r="L213" s="13">
        <v>0</v>
      </c>
      <c r="M213" s="13">
        <v>0</v>
      </c>
      <c r="N213" s="12">
        <v>0</v>
      </c>
      <c r="O213" s="12">
        <v>0</v>
      </c>
      <c r="P213" s="12">
        <v>0</v>
      </c>
      <c r="Q213" s="12">
        <v>0</v>
      </c>
      <c r="R213" s="12">
        <v>0</v>
      </c>
      <c r="S213" s="12">
        <v>0</v>
      </c>
      <c r="T213" s="13">
        <v>0</v>
      </c>
      <c r="U213" s="12">
        <f t="shared" si="4"/>
        <v>100000</v>
      </c>
    </row>
    <row r="214" spans="1:21" ht="15.75" customHeight="1" x14ac:dyDescent="0.25">
      <c r="A214" s="26" t="s">
        <v>341</v>
      </c>
      <c r="B214" s="26" t="s">
        <v>551</v>
      </c>
      <c r="C214" s="27" t="s">
        <v>143</v>
      </c>
      <c r="D214" s="27" t="s">
        <v>330</v>
      </c>
      <c r="E214" s="27" t="s">
        <v>241</v>
      </c>
      <c r="F214" s="27" t="s">
        <v>330</v>
      </c>
      <c r="G214" s="3" t="s">
        <v>158</v>
      </c>
      <c r="H214" s="28">
        <v>100000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13">
        <v>0</v>
      </c>
      <c r="U214" s="12">
        <f t="shared" si="4"/>
        <v>100000</v>
      </c>
    </row>
    <row r="215" spans="1:21" ht="15.75" customHeight="1" x14ac:dyDescent="0.25">
      <c r="A215" s="26" t="s">
        <v>341</v>
      </c>
      <c r="B215" s="26" t="s">
        <v>552</v>
      </c>
      <c r="C215" s="27" t="s">
        <v>188</v>
      </c>
      <c r="D215" s="27" t="s">
        <v>330</v>
      </c>
      <c r="E215" s="27" t="s">
        <v>241</v>
      </c>
      <c r="F215" s="27" t="s">
        <v>330</v>
      </c>
      <c r="G215" s="3" t="s">
        <v>158</v>
      </c>
      <c r="H215" s="28">
        <v>100000</v>
      </c>
      <c r="I215" s="13">
        <v>0</v>
      </c>
      <c r="J215" s="13">
        <v>0</v>
      </c>
      <c r="K215" s="13">
        <v>0</v>
      </c>
      <c r="L215" s="13">
        <v>0</v>
      </c>
      <c r="M215" s="13">
        <v>0</v>
      </c>
      <c r="N215" s="12">
        <v>0</v>
      </c>
      <c r="O215" s="12">
        <v>0</v>
      </c>
      <c r="P215" s="12">
        <v>0</v>
      </c>
      <c r="Q215" s="12">
        <v>0</v>
      </c>
      <c r="R215" s="12">
        <v>0</v>
      </c>
      <c r="S215" s="12">
        <v>0</v>
      </c>
      <c r="T215" s="13">
        <v>0</v>
      </c>
      <c r="U215" s="12">
        <f t="shared" si="4"/>
        <v>100000</v>
      </c>
    </row>
    <row r="216" spans="1:21" ht="15.75" customHeight="1" x14ac:dyDescent="0.25">
      <c r="A216" s="26" t="s">
        <v>341</v>
      </c>
      <c r="B216" s="26" t="s">
        <v>553</v>
      </c>
      <c r="C216" s="27" t="s">
        <v>189</v>
      </c>
      <c r="D216" s="27" t="s">
        <v>330</v>
      </c>
      <c r="E216" s="27" t="s">
        <v>241</v>
      </c>
      <c r="F216" s="27" t="s">
        <v>330</v>
      </c>
      <c r="G216" s="3" t="s">
        <v>158</v>
      </c>
      <c r="H216" s="28">
        <v>100000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13">
        <v>0</v>
      </c>
      <c r="U216" s="12">
        <f t="shared" si="4"/>
        <v>100000</v>
      </c>
    </row>
    <row r="217" spans="1:21" ht="15.75" customHeight="1" x14ac:dyDescent="0.25">
      <c r="A217" s="26" t="s">
        <v>341</v>
      </c>
      <c r="B217" s="26" t="s">
        <v>554</v>
      </c>
      <c r="C217" s="27" t="s">
        <v>144</v>
      </c>
      <c r="D217" s="27" t="s">
        <v>330</v>
      </c>
      <c r="E217" s="27" t="s">
        <v>241</v>
      </c>
      <c r="F217" s="27" t="s">
        <v>330</v>
      </c>
      <c r="G217" s="3" t="s">
        <v>158</v>
      </c>
      <c r="H217" s="28">
        <v>100000</v>
      </c>
      <c r="I217" s="13">
        <v>0</v>
      </c>
      <c r="J217" s="13">
        <v>0</v>
      </c>
      <c r="K217" s="13">
        <v>0</v>
      </c>
      <c r="L217" s="13">
        <v>0</v>
      </c>
      <c r="M217" s="13">
        <v>0</v>
      </c>
      <c r="N217" s="12">
        <v>0</v>
      </c>
      <c r="O217" s="12">
        <v>0</v>
      </c>
      <c r="P217" s="12">
        <v>0</v>
      </c>
      <c r="Q217" s="12">
        <v>0</v>
      </c>
      <c r="R217" s="12">
        <v>0</v>
      </c>
      <c r="S217" s="12">
        <v>0</v>
      </c>
      <c r="T217" s="13">
        <v>0</v>
      </c>
      <c r="U217" s="12">
        <f t="shared" si="4"/>
        <v>100000</v>
      </c>
    </row>
    <row r="218" spans="1:21" ht="15.75" customHeight="1" x14ac:dyDescent="0.25">
      <c r="A218" s="26" t="s">
        <v>341</v>
      </c>
      <c r="B218" s="26" t="s">
        <v>555</v>
      </c>
      <c r="C218" s="27" t="s">
        <v>145</v>
      </c>
      <c r="D218" s="27" t="s">
        <v>331</v>
      </c>
      <c r="E218" s="27" t="s">
        <v>331</v>
      </c>
      <c r="F218" s="27" t="s">
        <v>330</v>
      </c>
      <c r="G218" s="3" t="s">
        <v>190</v>
      </c>
      <c r="H218" s="28">
        <v>100000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2">
        <v>40322</v>
      </c>
      <c r="T218" s="3">
        <v>59678</v>
      </c>
      <c r="U218" s="12">
        <f t="shared" si="4"/>
        <v>0</v>
      </c>
    </row>
    <row r="219" spans="1:21" ht="15.75" customHeight="1" x14ac:dyDescent="0.25">
      <c r="A219" s="26" t="s">
        <v>341</v>
      </c>
      <c r="B219" s="26" t="s">
        <v>556</v>
      </c>
      <c r="C219" s="27" t="s">
        <v>146</v>
      </c>
      <c r="D219" s="27" t="s">
        <v>331</v>
      </c>
      <c r="E219" s="27" t="s">
        <v>331</v>
      </c>
      <c r="F219" s="27" t="s">
        <v>330</v>
      </c>
      <c r="G219" s="3" t="s">
        <v>190</v>
      </c>
      <c r="H219" s="28">
        <v>100000</v>
      </c>
      <c r="I219" s="13">
        <v>0</v>
      </c>
      <c r="J219" s="13">
        <v>0</v>
      </c>
      <c r="K219" s="13">
        <v>0</v>
      </c>
      <c r="L219" s="13">
        <v>0</v>
      </c>
      <c r="M219" s="13">
        <v>0</v>
      </c>
      <c r="N219" s="12">
        <v>0</v>
      </c>
      <c r="O219" s="12">
        <v>0</v>
      </c>
      <c r="P219" s="12">
        <v>0</v>
      </c>
      <c r="Q219" s="12">
        <v>0</v>
      </c>
      <c r="R219" s="12">
        <v>0</v>
      </c>
      <c r="S219" s="2">
        <v>40322</v>
      </c>
      <c r="T219" s="3">
        <v>59678</v>
      </c>
      <c r="U219" s="12">
        <f t="shared" si="4"/>
        <v>0</v>
      </c>
    </row>
    <row r="220" spans="1:21" ht="15.75" customHeight="1" x14ac:dyDescent="0.25">
      <c r="A220" s="26" t="s">
        <v>341</v>
      </c>
      <c r="B220" s="26" t="s">
        <v>557</v>
      </c>
      <c r="C220" s="27" t="s">
        <v>147</v>
      </c>
      <c r="D220" s="27" t="s">
        <v>331</v>
      </c>
      <c r="E220" s="27" t="s">
        <v>331</v>
      </c>
      <c r="F220" s="27" t="s">
        <v>330</v>
      </c>
      <c r="G220" s="3" t="s">
        <v>190</v>
      </c>
      <c r="H220" s="28">
        <v>100000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2">
        <v>40322</v>
      </c>
      <c r="T220" s="3">
        <v>59678</v>
      </c>
      <c r="U220" s="12">
        <f t="shared" si="4"/>
        <v>0</v>
      </c>
    </row>
    <row r="221" spans="1:21" ht="15.75" customHeight="1" x14ac:dyDescent="0.25">
      <c r="A221" s="26" t="s">
        <v>341</v>
      </c>
      <c r="B221" s="26" t="s">
        <v>558</v>
      </c>
      <c r="C221" s="27" t="s">
        <v>148</v>
      </c>
      <c r="D221" s="27" t="s">
        <v>331</v>
      </c>
      <c r="E221" s="27" t="s">
        <v>331</v>
      </c>
      <c r="F221" s="27" t="s">
        <v>330</v>
      </c>
      <c r="G221" s="3" t="s">
        <v>190</v>
      </c>
      <c r="H221" s="28">
        <v>100000</v>
      </c>
      <c r="I221" s="13">
        <v>0</v>
      </c>
      <c r="J221" s="13">
        <v>0</v>
      </c>
      <c r="K221" s="13">
        <v>0</v>
      </c>
      <c r="L221" s="13">
        <v>0</v>
      </c>
      <c r="M221" s="13">
        <v>0</v>
      </c>
      <c r="N221" s="12">
        <v>0</v>
      </c>
      <c r="O221" s="12">
        <v>0</v>
      </c>
      <c r="P221" s="12">
        <v>0</v>
      </c>
      <c r="Q221" s="12">
        <v>0</v>
      </c>
      <c r="R221" s="12">
        <v>0</v>
      </c>
      <c r="S221" s="2">
        <v>40322</v>
      </c>
      <c r="T221" s="3">
        <v>59678</v>
      </c>
      <c r="U221" s="12">
        <f t="shared" si="4"/>
        <v>0</v>
      </c>
    </row>
    <row r="222" spans="1:21" ht="15.75" customHeight="1" x14ac:dyDescent="0.25">
      <c r="A222" s="26" t="s">
        <v>341</v>
      </c>
      <c r="B222" s="26" t="s">
        <v>559</v>
      </c>
      <c r="C222" s="27" t="s">
        <v>149</v>
      </c>
      <c r="D222" s="27" t="s">
        <v>331</v>
      </c>
      <c r="E222" s="27" t="s">
        <v>331</v>
      </c>
      <c r="F222" s="27" t="s">
        <v>330</v>
      </c>
      <c r="G222" s="3" t="s">
        <v>190</v>
      </c>
      <c r="H222" s="28">
        <v>100000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2">
        <v>40322</v>
      </c>
      <c r="T222" s="3">
        <v>59678</v>
      </c>
      <c r="U222" s="12">
        <f t="shared" si="4"/>
        <v>0</v>
      </c>
    </row>
    <row r="223" spans="1:21" ht="15.75" customHeight="1" x14ac:dyDescent="0.25">
      <c r="A223" s="26" t="s">
        <v>341</v>
      </c>
      <c r="B223" s="26" t="s">
        <v>560</v>
      </c>
      <c r="C223" s="27" t="s">
        <v>150</v>
      </c>
      <c r="D223" s="27" t="s">
        <v>331</v>
      </c>
      <c r="E223" s="27" t="s">
        <v>331</v>
      </c>
      <c r="F223" s="27" t="s">
        <v>330</v>
      </c>
      <c r="G223" s="3" t="s">
        <v>190</v>
      </c>
      <c r="H223" s="28">
        <v>100000</v>
      </c>
      <c r="I223" s="13">
        <v>0</v>
      </c>
      <c r="J223" s="13">
        <v>0</v>
      </c>
      <c r="K223" s="13">
        <v>0</v>
      </c>
      <c r="L223" s="13">
        <v>0</v>
      </c>
      <c r="M223" s="13">
        <v>0</v>
      </c>
      <c r="N223" s="12">
        <v>0</v>
      </c>
      <c r="O223" s="12">
        <v>0</v>
      </c>
      <c r="P223" s="12">
        <v>0</v>
      </c>
      <c r="Q223" s="12">
        <v>0</v>
      </c>
      <c r="R223" s="12">
        <v>0</v>
      </c>
      <c r="S223" s="2">
        <v>40322</v>
      </c>
      <c r="T223" s="3">
        <v>59678</v>
      </c>
      <c r="U223" s="12">
        <f t="shared" si="4"/>
        <v>0</v>
      </c>
    </row>
    <row r="224" spans="1:21" ht="15.75" customHeight="1" x14ac:dyDescent="0.25">
      <c r="A224" s="26" t="s">
        <v>341</v>
      </c>
      <c r="B224" s="26" t="s">
        <v>561</v>
      </c>
      <c r="C224" s="27" t="s">
        <v>283</v>
      </c>
      <c r="D224" s="27" t="s">
        <v>331</v>
      </c>
      <c r="E224" s="27" t="s">
        <v>331</v>
      </c>
      <c r="F224" s="27" t="s">
        <v>331</v>
      </c>
      <c r="G224" s="3" t="s">
        <v>156</v>
      </c>
      <c r="H224" s="28">
        <v>100000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2">
        <v>0</v>
      </c>
      <c r="O224" s="12">
        <v>0</v>
      </c>
      <c r="P224" s="2">
        <v>100000</v>
      </c>
      <c r="Q224" s="12">
        <v>0</v>
      </c>
      <c r="R224" s="12">
        <v>0</v>
      </c>
      <c r="S224" s="12">
        <v>0</v>
      </c>
      <c r="T224" s="13">
        <v>0</v>
      </c>
      <c r="U224" s="12">
        <f t="shared" si="4"/>
        <v>0</v>
      </c>
    </row>
    <row r="225" spans="1:21" ht="15.75" customHeight="1" x14ac:dyDescent="0.25">
      <c r="A225" s="26" t="s">
        <v>341</v>
      </c>
      <c r="B225" s="26" t="s">
        <v>562</v>
      </c>
      <c r="C225" s="27" t="s">
        <v>246</v>
      </c>
      <c r="D225" s="27" t="s">
        <v>331</v>
      </c>
      <c r="E225" s="27" t="s">
        <v>331</v>
      </c>
      <c r="F225" s="27" t="s">
        <v>331</v>
      </c>
      <c r="G225" s="3" t="s">
        <v>156</v>
      </c>
      <c r="H225" s="28">
        <v>100000</v>
      </c>
      <c r="I225" s="13">
        <v>0</v>
      </c>
      <c r="J225" s="13">
        <v>0</v>
      </c>
      <c r="K225" s="13">
        <v>0</v>
      </c>
      <c r="L225" s="13">
        <v>0</v>
      </c>
      <c r="M225" s="13">
        <v>0</v>
      </c>
      <c r="N225" s="12">
        <v>0</v>
      </c>
      <c r="O225" s="12">
        <v>0</v>
      </c>
      <c r="P225" s="2">
        <v>100000</v>
      </c>
      <c r="Q225" s="12">
        <v>0</v>
      </c>
      <c r="R225" s="12">
        <v>0</v>
      </c>
      <c r="S225" s="12">
        <v>0</v>
      </c>
      <c r="T225" s="13">
        <v>0</v>
      </c>
      <c r="U225" s="12">
        <f t="shared" si="4"/>
        <v>0</v>
      </c>
    </row>
    <row r="226" spans="1:21" ht="15.75" customHeight="1" x14ac:dyDescent="0.25">
      <c r="A226" s="26" t="s">
        <v>341</v>
      </c>
      <c r="B226" s="26" t="s">
        <v>563</v>
      </c>
      <c r="C226" s="27" t="s">
        <v>247</v>
      </c>
      <c r="D226" s="27" t="s">
        <v>331</v>
      </c>
      <c r="E226" s="27" t="s">
        <v>331</v>
      </c>
      <c r="F226" s="27" t="s">
        <v>331</v>
      </c>
      <c r="G226" s="3" t="s">
        <v>156</v>
      </c>
      <c r="H226" s="28">
        <v>100000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2">
        <v>0</v>
      </c>
      <c r="O226" s="12">
        <v>0</v>
      </c>
      <c r="P226" s="2">
        <v>100000</v>
      </c>
      <c r="Q226" s="12">
        <v>0</v>
      </c>
      <c r="R226" s="12">
        <v>0</v>
      </c>
      <c r="S226" s="12">
        <v>0</v>
      </c>
      <c r="T226" s="13">
        <v>0</v>
      </c>
      <c r="U226" s="12">
        <f t="shared" si="4"/>
        <v>0</v>
      </c>
    </row>
    <row r="227" spans="1:21" ht="15.75" customHeight="1" x14ac:dyDescent="0.25">
      <c r="A227" s="26" t="s">
        <v>341</v>
      </c>
      <c r="B227" s="26" t="s">
        <v>564</v>
      </c>
      <c r="C227" s="27" t="s">
        <v>248</v>
      </c>
      <c r="D227" s="27" t="s">
        <v>331</v>
      </c>
      <c r="E227" s="27" t="s">
        <v>331</v>
      </c>
      <c r="F227" s="27" t="s">
        <v>331</v>
      </c>
      <c r="G227" s="3" t="s">
        <v>156</v>
      </c>
      <c r="H227" s="28">
        <v>100000</v>
      </c>
      <c r="I227" s="13">
        <v>0</v>
      </c>
      <c r="J227" s="13">
        <v>0</v>
      </c>
      <c r="K227" s="13">
        <v>0</v>
      </c>
      <c r="L227" s="13">
        <v>0</v>
      </c>
      <c r="M227" s="13">
        <v>0</v>
      </c>
      <c r="N227" s="12">
        <v>0</v>
      </c>
      <c r="O227" s="12">
        <v>0</v>
      </c>
      <c r="P227" s="2">
        <v>100000</v>
      </c>
      <c r="Q227" s="12">
        <v>0</v>
      </c>
      <c r="R227" s="12">
        <v>0</v>
      </c>
      <c r="S227" s="12">
        <v>0</v>
      </c>
      <c r="T227" s="13">
        <v>0</v>
      </c>
      <c r="U227" s="12">
        <f t="shared" si="4"/>
        <v>0</v>
      </c>
    </row>
    <row r="228" spans="1:21" ht="15.75" customHeight="1" x14ac:dyDescent="0.25">
      <c r="A228" s="26" t="s">
        <v>341</v>
      </c>
      <c r="B228" s="26" t="s">
        <v>565</v>
      </c>
      <c r="C228" s="27" t="s">
        <v>249</v>
      </c>
      <c r="D228" s="27" t="s">
        <v>331</v>
      </c>
      <c r="E228" s="27" t="s">
        <v>331</v>
      </c>
      <c r="F228" s="27" t="s">
        <v>331</v>
      </c>
      <c r="G228" s="3" t="s">
        <v>156</v>
      </c>
      <c r="H228" s="28">
        <v>100000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2">
        <v>0</v>
      </c>
      <c r="O228" s="12">
        <v>0</v>
      </c>
      <c r="P228" s="2">
        <v>100000</v>
      </c>
      <c r="Q228" s="12">
        <v>0</v>
      </c>
      <c r="R228" s="12">
        <v>0</v>
      </c>
      <c r="S228" s="12">
        <v>0</v>
      </c>
      <c r="T228" s="13">
        <v>0</v>
      </c>
      <c r="U228" s="12">
        <f t="shared" si="4"/>
        <v>0</v>
      </c>
    </row>
    <row r="229" spans="1:21" ht="15.75" customHeight="1" x14ac:dyDescent="0.25">
      <c r="A229" s="26" t="s">
        <v>341</v>
      </c>
      <c r="B229" s="26" t="s">
        <v>566</v>
      </c>
      <c r="C229" s="27" t="s">
        <v>250</v>
      </c>
      <c r="D229" s="27" t="s">
        <v>331</v>
      </c>
      <c r="E229" s="27" t="s">
        <v>331</v>
      </c>
      <c r="F229" s="27" t="s">
        <v>331</v>
      </c>
      <c r="G229" s="3" t="s">
        <v>156</v>
      </c>
      <c r="H229" s="28">
        <v>100000</v>
      </c>
      <c r="I229" s="13">
        <v>0</v>
      </c>
      <c r="J229" s="13">
        <v>0</v>
      </c>
      <c r="K229" s="13">
        <v>0</v>
      </c>
      <c r="L229" s="13">
        <v>0</v>
      </c>
      <c r="M229" s="13">
        <v>0</v>
      </c>
      <c r="N229" s="12">
        <v>0</v>
      </c>
      <c r="O229" s="12">
        <v>0</v>
      </c>
      <c r="P229" s="2">
        <v>100000</v>
      </c>
      <c r="Q229" s="12">
        <v>0</v>
      </c>
      <c r="R229" s="12">
        <v>0</v>
      </c>
      <c r="S229" s="12">
        <v>0</v>
      </c>
      <c r="T229" s="13">
        <v>0</v>
      </c>
      <c r="U229" s="12">
        <f t="shared" si="4"/>
        <v>0</v>
      </c>
    </row>
    <row r="230" spans="1:21" ht="15.75" customHeight="1" x14ac:dyDescent="0.25">
      <c r="A230" s="26" t="s">
        <v>341</v>
      </c>
      <c r="B230" s="26" t="s">
        <v>567</v>
      </c>
      <c r="C230" s="27" t="s">
        <v>251</v>
      </c>
      <c r="D230" s="27" t="s">
        <v>331</v>
      </c>
      <c r="E230" s="27" t="s">
        <v>331</v>
      </c>
      <c r="F230" s="27" t="s">
        <v>331</v>
      </c>
      <c r="G230" s="3" t="s">
        <v>156</v>
      </c>
      <c r="H230" s="28">
        <v>100000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2">
        <v>0</v>
      </c>
      <c r="O230" s="12">
        <v>0</v>
      </c>
      <c r="P230" s="2">
        <v>100000</v>
      </c>
      <c r="Q230" s="12">
        <v>0</v>
      </c>
      <c r="R230" s="12">
        <v>0</v>
      </c>
      <c r="S230" s="12">
        <v>0</v>
      </c>
      <c r="T230" s="13">
        <v>0</v>
      </c>
      <c r="U230" s="12">
        <f t="shared" si="4"/>
        <v>0</v>
      </c>
    </row>
    <row r="231" spans="1:21" ht="15.75" customHeight="1" x14ac:dyDescent="0.25">
      <c r="A231" s="26" t="s">
        <v>341</v>
      </c>
      <c r="B231" s="26" t="s">
        <v>568</v>
      </c>
      <c r="C231" s="27" t="s">
        <v>252</v>
      </c>
      <c r="D231" s="27" t="s">
        <v>331</v>
      </c>
      <c r="E231" s="27" t="s">
        <v>331</v>
      </c>
      <c r="F231" s="27" t="s">
        <v>330</v>
      </c>
      <c r="G231" s="3" t="s">
        <v>160</v>
      </c>
      <c r="H231" s="28">
        <v>100000</v>
      </c>
      <c r="I231" s="13">
        <v>0</v>
      </c>
      <c r="J231" s="13">
        <v>0</v>
      </c>
      <c r="K231" s="13">
        <v>0</v>
      </c>
      <c r="L231" s="3">
        <v>100000</v>
      </c>
      <c r="M231" s="13">
        <v>0</v>
      </c>
      <c r="N231" s="12">
        <v>0</v>
      </c>
      <c r="O231" s="12">
        <v>0</v>
      </c>
      <c r="P231" s="12">
        <v>0</v>
      </c>
      <c r="Q231" s="12">
        <v>0</v>
      </c>
      <c r="R231" s="12">
        <v>0</v>
      </c>
      <c r="S231" s="12">
        <v>0</v>
      </c>
      <c r="T231" s="13">
        <v>0</v>
      </c>
      <c r="U231" s="12">
        <f t="shared" si="4"/>
        <v>0</v>
      </c>
    </row>
    <row r="232" spans="1:21" ht="15.75" customHeight="1" x14ac:dyDescent="0.25">
      <c r="A232" s="26" t="s">
        <v>341</v>
      </c>
      <c r="B232" s="26" t="s">
        <v>569</v>
      </c>
      <c r="C232" s="27" t="s">
        <v>315</v>
      </c>
      <c r="D232" s="27" t="s">
        <v>331</v>
      </c>
      <c r="E232" s="27" t="s">
        <v>331</v>
      </c>
      <c r="F232" s="27" t="s">
        <v>330</v>
      </c>
      <c r="G232" s="3" t="s">
        <v>160</v>
      </c>
      <c r="H232" s="28">
        <v>100000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2">
        <v>0</v>
      </c>
      <c r="O232" s="2">
        <v>100000</v>
      </c>
      <c r="P232" s="12">
        <v>0</v>
      </c>
      <c r="Q232" s="12">
        <v>0</v>
      </c>
      <c r="R232" s="12">
        <v>0</v>
      </c>
      <c r="S232" s="12">
        <v>0</v>
      </c>
      <c r="T232" s="13">
        <v>0</v>
      </c>
      <c r="U232" s="12">
        <f t="shared" si="4"/>
        <v>0</v>
      </c>
    </row>
    <row r="233" spans="1:21" ht="15.75" customHeight="1" x14ac:dyDescent="0.25">
      <c r="A233" s="26" t="s">
        <v>341</v>
      </c>
      <c r="B233" s="26" t="s">
        <v>570</v>
      </c>
      <c r="C233" s="27" t="s">
        <v>253</v>
      </c>
      <c r="D233" s="27" t="s">
        <v>331</v>
      </c>
      <c r="E233" s="27" t="s">
        <v>331</v>
      </c>
      <c r="F233" s="27" t="s">
        <v>330</v>
      </c>
      <c r="G233" s="3" t="s">
        <v>160</v>
      </c>
      <c r="H233" s="28">
        <v>100000</v>
      </c>
      <c r="I233" s="13">
        <v>0</v>
      </c>
      <c r="J233" s="13">
        <v>0</v>
      </c>
      <c r="K233" s="13">
        <v>0</v>
      </c>
      <c r="L233" s="13">
        <v>0</v>
      </c>
      <c r="M233" s="13">
        <v>0</v>
      </c>
      <c r="N233" s="12">
        <v>0</v>
      </c>
      <c r="O233" s="12">
        <v>0</v>
      </c>
      <c r="P233" s="2">
        <v>77273</v>
      </c>
      <c r="Q233" s="12">
        <v>0</v>
      </c>
      <c r="R233" s="2">
        <v>22727</v>
      </c>
      <c r="S233" s="12">
        <v>0</v>
      </c>
      <c r="T233" s="13">
        <v>0</v>
      </c>
      <c r="U233" s="12">
        <f t="shared" si="4"/>
        <v>0</v>
      </c>
    </row>
    <row r="234" spans="1:21" ht="15.75" customHeight="1" x14ac:dyDescent="0.25">
      <c r="A234" s="26" t="s">
        <v>341</v>
      </c>
      <c r="B234" s="26" t="s">
        <v>571</v>
      </c>
      <c r="C234" s="27" t="s">
        <v>254</v>
      </c>
      <c r="D234" s="27" t="s">
        <v>331</v>
      </c>
      <c r="E234" s="27" t="s">
        <v>331</v>
      </c>
      <c r="F234" s="27" t="s">
        <v>331</v>
      </c>
      <c r="G234" s="3" t="s">
        <v>156</v>
      </c>
      <c r="H234" s="28">
        <v>100000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2">
        <v>0</v>
      </c>
      <c r="O234" s="12">
        <v>0</v>
      </c>
      <c r="P234" s="2">
        <v>100000</v>
      </c>
      <c r="Q234" s="12">
        <v>0</v>
      </c>
      <c r="R234" s="12">
        <v>0</v>
      </c>
      <c r="S234" s="12">
        <v>0</v>
      </c>
      <c r="T234" s="13">
        <v>0</v>
      </c>
      <c r="U234" s="12">
        <f t="shared" si="4"/>
        <v>0</v>
      </c>
    </row>
    <row r="235" spans="1:21" ht="15.75" customHeight="1" x14ac:dyDescent="0.25">
      <c r="A235" s="26" t="s">
        <v>341</v>
      </c>
      <c r="B235" s="26" t="s">
        <v>572</v>
      </c>
      <c r="C235" s="27" t="s">
        <v>255</v>
      </c>
      <c r="D235" s="27" t="s">
        <v>331</v>
      </c>
      <c r="E235" s="27" t="s">
        <v>331</v>
      </c>
      <c r="F235" s="27" t="s">
        <v>331</v>
      </c>
      <c r="G235" s="3" t="s">
        <v>156</v>
      </c>
      <c r="H235" s="28">
        <v>100000</v>
      </c>
      <c r="I235" s="13">
        <v>0</v>
      </c>
      <c r="J235" s="13">
        <v>0</v>
      </c>
      <c r="K235" s="13">
        <v>0</v>
      </c>
      <c r="L235" s="13">
        <v>0</v>
      </c>
      <c r="M235" s="13">
        <v>0</v>
      </c>
      <c r="N235" s="12">
        <v>0</v>
      </c>
      <c r="O235" s="12">
        <v>0</v>
      </c>
      <c r="P235" s="2">
        <v>100000</v>
      </c>
      <c r="Q235" s="12">
        <v>0</v>
      </c>
      <c r="R235" s="12">
        <v>0</v>
      </c>
      <c r="S235" s="12">
        <v>0</v>
      </c>
      <c r="T235" s="13">
        <v>0</v>
      </c>
      <c r="U235" s="12">
        <f t="shared" si="4"/>
        <v>0</v>
      </c>
    </row>
    <row r="236" spans="1:21" ht="15.75" customHeight="1" x14ac:dyDescent="0.25">
      <c r="A236" s="26" t="s">
        <v>341</v>
      </c>
      <c r="B236" s="26" t="s">
        <v>573</v>
      </c>
      <c r="C236" s="27" t="s">
        <v>316</v>
      </c>
      <c r="D236" s="27" t="s">
        <v>331</v>
      </c>
      <c r="E236" s="27" t="s">
        <v>331</v>
      </c>
      <c r="F236" s="27" t="s">
        <v>330</v>
      </c>
      <c r="G236" s="3" t="s">
        <v>242</v>
      </c>
      <c r="H236" s="28">
        <v>100000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2">
        <v>0</v>
      </c>
      <c r="O236" s="2">
        <v>100000</v>
      </c>
      <c r="P236" s="12">
        <v>0</v>
      </c>
      <c r="Q236" s="12">
        <v>0</v>
      </c>
      <c r="R236" s="12">
        <v>0</v>
      </c>
      <c r="S236" s="12">
        <v>0</v>
      </c>
      <c r="T236" s="13">
        <v>0</v>
      </c>
      <c r="U236" s="12">
        <f t="shared" si="4"/>
        <v>0</v>
      </c>
    </row>
    <row r="237" spans="1:21" ht="15.75" customHeight="1" x14ac:dyDescent="0.25">
      <c r="A237" s="26" t="s">
        <v>341</v>
      </c>
      <c r="B237" s="26" t="s">
        <v>574</v>
      </c>
      <c r="C237" s="27" t="s">
        <v>256</v>
      </c>
      <c r="D237" s="27" t="s">
        <v>331</v>
      </c>
      <c r="E237" s="27" t="s">
        <v>331</v>
      </c>
      <c r="F237" s="27" t="s">
        <v>330</v>
      </c>
      <c r="G237" s="3" t="s">
        <v>159</v>
      </c>
      <c r="H237" s="28">
        <v>100000</v>
      </c>
      <c r="I237" s="13">
        <v>0</v>
      </c>
      <c r="J237" s="13">
        <v>0</v>
      </c>
      <c r="K237" s="13">
        <v>0</v>
      </c>
      <c r="L237" s="13">
        <v>0</v>
      </c>
      <c r="M237" s="13">
        <v>0</v>
      </c>
      <c r="N237" s="12">
        <v>0</v>
      </c>
      <c r="O237" s="12">
        <v>0</v>
      </c>
      <c r="P237" s="2">
        <v>100000</v>
      </c>
      <c r="Q237" s="12">
        <v>0</v>
      </c>
      <c r="R237" s="12">
        <v>0</v>
      </c>
      <c r="S237" s="12">
        <v>0</v>
      </c>
      <c r="T237" s="13">
        <v>0</v>
      </c>
      <c r="U237" s="12">
        <f t="shared" si="4"/>
        <v>0</v>
      </c>
    </row>
    <row r="238" spans="1:21" ht="15.75" customHeight="1" x14ac:dyDescent="0.25">
      <c r="A238" s="26" t="s">
        <v>341</v>
      </c>
      <c r="B238" s="26" t="s">
        <v>575</v>
      </c>
      <c r="C238" s="27" t="s">
        <v>257</v>
      </c>
      <c r="D238" s="27" t="s">
        <v>331</v>
      </c>
      <c r="E238" s="27" t="s">
        <v>331</v>
      </c>
      <c r="F238" s="27" t="s">
        <v>331</v>
      </c>
      <c r="G238" s="3" t="s">
        <v>157</v>
      </c>
      <c r="H238" s="28">
        <v>100000</v>
      </c>
      <c r="I238" s="13">
        <v>0</v>
      </c>
      <c r="J238" s="13">
        <v>0</v>
      </c>
      <c r="K238" s="13">
        <v>0</v>
      </c>
      <c r="L238" s="13">
        <v>0</v>
      </c>
      <c r="M238" s="2">
        <v>100000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13">
        <v>0</v>
      </c>
      <c r="U238" s="12">
        <f t="shared" si="4"/>
        <v>0</v>
      </c>
    </row>
    <row r="239" spans="1:21" ht="15.75" customHeight="1" x14ac:dyDescent="0.25">
      <c r="A239" s="26" t="s">
        <v>341</v>
      </c>
      <c r="B239" s="26" t="s">
        <v>576</v>
      </c>
      <c r="C239" s="27" t="s">
        <v>258</v>
      </c>
      <c r="D239" s="27" t="s">
        <v>331</v>
      </c>
      <c r="E239" s="27" t="s">
        <v>331</v>
      </c>
      <c r="F239" s="27" t="s">
        <v>331</v>
      </c>
      <c r="G239" s="3" t="s">
        <v>162</v>
      </c>
      <c r="H239" s="28">
        <v>60000</v>
      </c>
      <c r="I239" s="13">
        <v>0</v>
      </c>
      <c r="J239" s="13">
        <v>0</v>
      </c>
      <c r="K239" s="2">
        <v>60000</v>
      </c>
      <c r="L239" s="13">
        <v>0</v>
      </c>
      <c r="M239" s="13">
        <v>0</v>
      </c>
      <c r="N239" s="12">
        <v>0</v>
      </c>
      <c r="O239" s="12">
        <v>0</v>
      </c>
      <c r="P239" s="12">
        <v>0</v>
      </c>
      <c r="Q239" s="12">
        <v>0</v>
      </c>
      <c r="R239" s="12">
        <v>0</v>
      </c>
      <c r="S239" s="12">
        <v>0</v>
      </c>
      <c r="T239" s="13">
        <v>0</v>
      </c>
      <c r="U239" s="12">
        <f t="shared" si="4"/>
        <v>0</v>
      </c>
    </row>
    <row r="240" spans="1:21" ht="15.75" customHeight="1" x14ac:dyDescent="0.25">
      <c r="A240" s="26" t="s">
        <v>341</v>
      </c>
      <c r="B240" s="26" t="s">
        <v>577</v>
      </c>
      <c r="C240" s="27" t="s">
        <v>259</v>
      </c>
      <c r="D240" s="27" t="s">
        <v>331</v>
      </c>
      <c r="E240" s="27" t="s">
        <v>331</v>
      </c>
      <c r="F240" t="s">
        <v>330</v>
      </c>
      <c r="G240" s="3" t="s">
        <v>151</v>
      </c>
      <c r="H240" s="28">
        <v>50000</v>
      </c>
      <c r="I240" s="13">
        <v>0</v>
      </c>
      <c r="J240" s="13">
        <v>0</v>
      </c>
      <c r="K240" s="2">
        <v>50000</v>
      </c>
      <c r="L240" s="13">
        <v>0</v>
      </c>
      <c r="M240" s="13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13">
        <v>0</v>
      </c>
      <c r="U240" s="12">
        <f t="shared" si="4"/>
        <v>0</v>
      </c>
    </row>
    <row r="241" spans="1:21" ht="15.75" customHeight="1" x14ac:dyDescent="0.25">
      <c r="A241" s="26" t="s">
        <v>341</v>
      </c>
      <c r="B241" s="26" t="s">
        <v>578</v>
      </c>
      <c r="C241" s="27" t="s">
        <v>260</v>
      </c>
      <c r="D241" s="27" t="s">
        <v>331</v>
      </c>
      <c r="E241" s="27" t="s">
        <v>331</v>
      </c>
      <c r="F241" t="s">
        <v>330</v>
      </c>
      <c r="G241" s="3" t="s">
        <v>151</v>
      </c>
      <c r="H241" s="28">
        <v>50000</v>
      </c>
      <c r="I241" s="13">
        <v>0</v>
      </c>
      <c r="J241" s="13">
        <v>0</v>
      </c>
      <c r="K241" s="2">
        <v>50000</v>
      </c>
      <c r="L241" s="13">
        <v>0</v>
      </c>
      <c r="M241" s="13">
        <v>0</v>
      </c>
      <c r="N241" s="12">
        <v>0</v>
      </c>
      <c r="O241" s="12">
        <v>0</v>
      </c>
      <c r="P241" s="12">
        <v>0</v>
      </c>
      <c r="Q241" s="12">
        <v>0</v>
      </c>
      <c r="R241" s="12">
        <v>0</v>
      </c>
      <c r="S241" s="12">
        <v>0</v>
      </c>
      <c r="T241" s="13">
        <v>0</v>
      </c>
      <c r="U241" s="12">
        <f t="shared" si="4"/>
        <v>0</v>
      </c>
    </row>
    <row r="242" spans="1:21" ht="15.75" customHeight="1" x14ac:dyDescent="0.25">
      <c r="A242" s="26" t="s">
        <v>341</v>
      </c>
      <c r="B242" s="26" t="s">
        <v>579</v>
      </c>
      <c r="C242" s="27" t="s">
        <v>261</v>
      </c>
      <c r="D242" s="27" t="s">
        <v>331</v>
      </c>
      <c r="E242" s="27" t="s">
        <v>331</v>
      </c>
      <c r="F242" t="s">
        <v>330</v>
      </c>
      <c r="G242" s="3" t="s">
        <v>151</v>
      </c>
      <c r="H242" s="28">
        <v>50000</v>
      </c>
      <c r="I242" s="13">
        <v>0</v>
      </c>
      <c r="J242" s="13">
        <v>0</v>
      </c>
      <c r="K242" s="2">
        <v>50000</v>
      </c>
      <c r="L242" s="13">
        <v>0</v>
      </c>
      <c r="M242" s="13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13">
        <v>0</v>
      </c>
      <c r="U242" s="12">
        <f t="shared" si="4"/>
        <v>0</v>
      </c>
    </row>
    <row r="243" spans="1:21" ht="15.75" customHeight="1" x14ac:dyDescent="0.25">
      <c r="A243" s="26" t="s">
        <v>341</v>
      </c>
      <c r="B243" s="26" t="s">
        <v>580</v>
      </c>
      <c r="C243" s="27" t="s">
        <v>85</v>
      </c>
      <c r="D243" s="27" t="s">
        <v>331</v>
      </c>
      <c r="E243" s="27" t="s">
        <v>331</v>
      </c>
      <c r="F243" t="s">
        <v>330</v>
      </c>
      <c r="G243" s="3" t="s">
        <v>151</v>
      </c>
      <c r="H243" s="28">
        <v>50000</v>
      </c>
      <c r="I243" s="13">
        <v>0</v>
      </c>
      <c r="J243" s="13">
        <v>0</v>
      </c>
      <c r="K243" s="2">
        <v>50000</v>
      </c>
      <c r="L243" s="13">
        <v>0</v>
      </c>
      <c r="M243" s="13">
        <v>0</v>
      </c>
      <c r="N243" s="12">
        <v>0</v>
      </c>
      <c r="O243" s="12">
        <v>0</v>
      </c>
      <c r="P243" s="12">
        <v>0</v>
      </c>
      <c r="Q243" s="12">
        <v>0</v>
      </c>
      <c r="R243" s="12">
        <v>0</v>
      </c>
      <c r="S243" s="12">
        <v>0</v>
      </c>
      <c r="T243" s="13">
        <v>0</v>
      </c>
      <c r="U243" s="12">
        <f t="shared" si="4"/>
        <v>0</v>
      </c>
    </row>
    <row r="244" spans="1:21" ht="15.75" customHeight="1" x14ac:dyDescent="0.25">
      <c r="A244" s="26" t="s">
        <v>341</v>
      </c>
      <c r="B244" s="26" t="s">
        <v>581</v>
      </c>
      <c r="C244" s="27" t="s">
        <v>262</v>
      </c>
      <c r="D244" s="27" t="s">
        <v>331</v>
      </c>
      <c r="E244" s="27" t="s">
        <v>331</v>
      </c>
      <c r="F244" t="s">
        <v>330</v>
      </c>
      <c r="G244" s="3" t="s">
        <v>151</v>
      </c>
      <c r="H244" s="28">
        <v>100000</v>
      </c>
      <c r="I244" s="13">
        <v>0</v>
      </c>
      <c r="J244" s="13">
        <v>0</v>
      </c>
      <c r="K244" s="12">
        <v>0</v>
      </c>
      <c r="L244" s="13">
        <v>0</v>
      </c>
      <c r="M244" s="13">
        <v>0</v>
      </c>
      <c r="N244" s="12">
        <v>0</v>
      </c>
      <c r="O244" s="12">
        <v>0</v>
      </c>
      <c r="P244" s="2">
        <v>100000</v>
      </c>
      <c r="Q244" s="12">
        <v>0</v>
      </c>
      <c r="R244" s="12">
        <v>0</v>
      </c>
      <c r="S244" s="12">
        <v>0</v>
      </c>
      <c r="T244" s="13">
        <v>0</v>
      </c>
      <c r="U244" s="12">
        <f t="shared" si="4"/>
        <v>0</v>
      </c>
    </row>
    <row r="245" spans="1:21" ht="15.75" customHeight="1" x14ac:dyDescent="0.25">
      <c r="A245" s="26" t="s">
        <v>341</v>
      </c>
      <c r="B245" s="26" t="s">
        <v>582</v>
      </c>
      <c r="C245" s="27" t="s">
        <v>263</v>
      </c>
      <c r="D245" s="27" t="s">
        <v>331</v>
      </c>
      <c r="E245" s="27" t="s">
        <v>331</v>
      </c>
      <c r="F245" s="27" t="s">
        <v>331</v>
      </c>
      <c r="G245" s="3" t="s">
        <v>162</v>
      </c>
      <c r="H245" s="28">
        <v>100000</v>
      </c>
      <c r="I245" s="13">
        <v>0</v>
      </c>
      <c r="J245" s="13">
        <v>0</v>
      </c>
      <c r="K245" s="12">
        <v>0</v>
      </c>
      <c r="L245" s="13">
        <v>0</v>
      </c>
      <c r="M245" s="13">
        <v>0</v>
      </c>
      <c r="N245" s="12">
        <v>0</v>
      </c>
      <c r="O245" s="12">
        <v>0</v>
      </c>
      <c r="P245" s="12">
        <v>0</v>
      </c>
      <c r="Q245" s="12">
        <v>0</v>
      </c>
      <c r="R245" s="2">
        <v>100000</v>
      </c>
      <c r="S245" s="12">
        <v>0</v>
      </c>
      <c r="T245" s="13">
        <v>0</v>
      </c>
      <c r="U245" s="12">
        <f t="shared" si="4"/>
        <v>0</v>
      </c>
    </row>
    <row r="246" spans="1:21" ht="15.75" customHeight="1" x14ac:dyDescent="0.25">
      <c r="A246" s="26" t="s">
        <v>341</v>
      </c>
      <c r="B246" s="26" t="s">
        <v>583</v>
      </c>
      <c r="C246" s="27" t="s">
        <v>264</v>
      </c>
      <c r="D246" s="27" t="s">
        <v>331</v>
      </c>
      <c r="E246" s="27" t="s">
        <v>331</v>
      </c>
      <c r="F246" t="s">
        <v>330</v>
      </c>
      <c r="G246" s="3" t="s">
        <v>151</v>
      </c>
      <c r="H246" s="28">
        <v>25000</v>
      </c>
      <c r="I246" s="13">
        <v>0</v>
      </c>
      <c r="J246" s="13">
        <v>0</v>
      </c>
      <c r="K246" s="2">
        <v>14186</v>
      </c>
      <c r="L246" s="13">
        <v>0</v>
      </c>
      <c r="M246" s="13">
        <v>0</v>
      </c>
      <c r="N246" s="12">
        <v>0</v>
      </c>
      <c r="O246" s="12">
        <v>0</v>
      </c>
      <c r="P246" s="12">
        <v>0</v>
      </c>
      <c r="Q246" s="12">
        <v>0</v>
      </c>
      <c r="R246" s="2">
        <v>10814</v>
      </c>
      <c r="S246" s="12">
        <v>0</v>
      </c>
      <c r="T246" s="13">
        <v>0</v>
      </c>
      <c r="U246" s="12">
        <f t="shared" si="4"/>
        <v>0</v>
      </c>
    </row>
    <row r="247" spans="1:21" ht="15.75" customHeight="1" x14ac:dyDescent="0.25">
      <c r="A247" s="26" t="s">
        <v>341</v>
      </c>
      <c r="B247" s="26" t="s">
        <v>584</v>
      </c>
      <c r="C247" s="27" t="s">
        <v>265</v>
      </c>
      <c r="D247" s="27" t="s">
        <v>331</v>
      </c>
      <c r="E247" s="27" t="s">
        <v>331</v>
      </c>
      <c r="F247" s="27" t="s">
        <v>330</v>
      </c>
      <c r="G247" s="3" t="s">
        <v>243</v>
      </c>
      <c r="H247" s="28">
        <v>100000</v>
      </c>
      <c r="I247" s="13">
        <v>0</v>
      </c>
      <c r="J247" s="13">
        <v>0</v>
      </c>
      <c r="K247" s="12">
        <v>0</v>
      </c>
      <c r="L247" s="13">
        <v>0</v>
      </c>
      <c r="M247" s="13">
        <v>0</v>
      </c>
      <c r="N247" s="12">
        <v>0</v>
      </c>
      <c r="O247" s="12">
        <v>0</v>
      </c>
      <c r="P247" s="12">
        <v>0</v>
      </c>
      <c r="Q247" s="12">
        <v>0</v>
      </c>
      <c r="R247" s="2">
        <v>100000</v>
      </c>
      <c r="S247" s="12">
        <v>0</v>
      </c>
      <c r="T247" s="13">
        <v>0</v>
      </c>
      <c r="U247" s="12">
        <f t="shared" si="4"/>
        <v>0</v>
      </c>
    </row>
    <row r="248" spans="1:21" ht="15.75" customHeight="1" x14ac:dyDescent="0.25">
      <c r="A248" s="26" t="s">
        <v>341</v>
      </c>
      <c r="B248" s="26" t="s">
        <v>585</v>
      </c>
      <c r="C248" s="27" t="s">
        <v>266</v>
      </c>
      <c r="D248" s="27" t="s">
        <v>331</v>
      </c>
      <c r="E248" s="27" t="s">
        <v>331</v>
      </c>
      <c r="F248" s="27" t="s">
        <v>330</v>
      </c>
      <c r="G248" s="3" t="s">
        <v>243</v>
      </c>
      <c r="H248" s="28">
        <v>100000</v>
      </c>
      <c r="I248" s="13">
        <v>0</v>
      </c>
      <c r="J248" s="13">
        <v>0</v>
      </c>
      <c r="K248" s="12">
        <v>0</v>
      </c>
      <c r="L248" s="13">
        <v>0</v>
      </c>
      <c r="M248" s="13">
        <v>0</v>
      </c>
      <c r="N248" s="12">
        <v>0</v>
      </c>
      <c r="O248" s="12">
        <v>0</v>
      </c>
      <c r="P248" s="12">
        <v>0</v>
      </c>
      <c r="Q248" s="12">
        <v>0</v>
      </c>
      <c r="R248" s="2">
        <v>100000</v>
      </c>
      <c r="S248" s="12">
        <v>0</v>
      </c>
      <c r="T248" s="13">
        <v>0</v>
      </c>
      <c r="U248" s="12">
        <f t="shared" si="4"/>
        <v>0</v>
      </c>
    </row>
    <row r="249" spans="1:21" ht="15.75" customHeight="1" x14ac:dyDescent="0.25">
      <c r="A249" s="26" t="s">
        <v>341</v>
      </c>
      <c r="B249" s="26" t="s">
        <v>586</v>
      </c>
      <c r="C249" s="27" t="s">
        <v>267</v>
      </c>
      <c r="D249" s="27" t="s">
        <v>331</v>
      </c>
      <c r="E249" s="27" t="s">
        <v>331</v>
      </c>
      <c r="F249" s="27" t="s">
        <v>330</v>
      </c>
      <c r="G249" s="3" t="s">
        <v>243</v>
      </c>
      <c r="H249" s="28">
        <v>100000</v>
      </c>
      <c r="I249" s="13">
        <v>0</v>
      </c>
      <c r="J249" s="13">
        <v>0</v>
      </c>
      <c r="K249" s="2">
        <v>100000</v>
      </c>
      <c r="L249" s="13">
        <v>0</v>
      </c>
      <c r="M249" s="13">
        <v>0</v>
      </c>
      <c r="N249" s="12">
        <v>0</v>
      </c>
      <c r="O249" s="12">
        <v>0</v>
      </c>
      <c r="P249" s="12">
        <v>0</v>
      </c>
      <c r="Q249" s="12">
        <v>0</v>
      </c>
      <c r="R249" s="12">
        <v>0</v>
      </c>
      <c r="S249" s="12">
        <v>0</v>
      </c>
      <c r="T249" s="13">
        <v>0</v>
      </c>
      <c r="U249" s="12">
        <f t="shared" si="4"/>
        <v>0</v>
      </c>
    </row>
    <row r="250" spans="1:21" ht="15.75" customHeight="1" x14ac:dyDescent="0.25">
      <c r="A250" s="26" t="s">
        <v>341</v>
      </c>
      <c r="B250" s="26" t="s">
        <v>587</v>
      </c>
      <c r="C250" s="27" t="s">
        <v>268</v>
      </c>
      <c r="D250" s="27" t="s">
        <v>331</v>
      </c>
      <c r="E250" s="27" t="s">
        <v>331</v>
      </c>
      <c r="F250" s="27" t="s">
        <v>330</v>
      </c>
      <c r="G250" s="3" t="s">
        <v>243</v>
      </c>
      <c r="H250" s="28">
        <v>100000</v>
      </c>
      <c r="I250" s="13">
        <v>0</v>
      </c>
      <c r="J250" s="13">
        <v>0</v>
      </c>
      <c r="K250" s="2">
        <v>27274</v>
      </c>
      <c r="L250" s="13">
        <v>0</v>
      </c>
      <c r="M250" s="13">
        <v>0</v>
      </c>
      <c r="N250" s="12">
        <v>0</v>
      </c>
      <c r="O250" s="12">
        <v>0</v>
      </c>
      <c r="P250" s="12">
        <v>0</v>
      </c>
      <c r="Q250" s="12">
        <v>0</v>
      </c>
      <c r="R250" s="2">
        <v>72726</v>
      </c>
      <c r="S250" s="12">
        <v>0</v>
      </c>
      <c r="T250" s="13">
        <v>0</v>
      </c>
      <c r="U250" s="12">
        <f t="shared" si="4"/>
        <v>0</v>
      </c>
    </row>
    <row r="251" spans="1:21" ht="15.75" customHeight="1" x14ac:dyDescent="0.25">
      <c r="A251" s="26" t="s">
        <v>341</v>
      </c>
      <c r="B251" s="26" t="s">
        <v>588</v>
      </c>
      <c r="C251" s="27" t="s">
        <v>269</v>
      </c>
      <c r="D251" s="27" t="s">
        <v>331</v>
      </c>
      <c r="E251" s="27" t="s">
        <v>331</v>
      </c>
      <c r="F251" s="27" t="s">
        <v>330</v>
      </c>
      <c r="G251" s="3" t="s">
        <v>243</v>
      </c>
      <c r="H251" s="28">
        <v>100000</v>
      </c>
      <c r="I251" s="13">
        <v>0</v>
      </c>
      <c r="J251" s="13">
        <v>0</v>
      </c>
      <c r="K251" s="12">
        <v>0</v>
      </c>
      <c r="L251" s="13">
        <v>0</v>
      </c>
      <c r="M251" s="13">
        <v>0</v>
      </c>
      <c r="N251" s="12">
        <v>0</v>
      </c>
      <c r="O251" s="2">
        <v>17750</v>
      </c>
      <c r="P251" s="12">
        <v>0</v>
      </c>
      <c r="Q251" s="12">
        <v>0</v>
      </c>
      <c r="R251" s="2">
        <v>82250</v>
      </c>
      <c r="S251" s="12">
        <v>0</v>
      </c>
      <c r="T251" s="13">
        <v>0</v>
      </c>
      <c r="U251" s="12">
        <f t="shared" si="4"/>
        <v>0</v>
      </c>
    </row>
    <row r="252" spans="1:21" ht="15.75" customHeight="1" x14ac:dyDescent="0.25">
      <c r="A252" s="26" t="s">
        <v>341</v>
      </c>
      <c r="B252" s="26" t="s">
        <v>589</v>
      </c>
      <c r="C252" s="27" t="s">
        <v>270</v>
      </c>
      <c r="D252" s="27" t="s">
        <v>331</v>
      </c>
      <c r="E252" s="27" t="s">
        <v>331</v>
      </c>
      <c r="F252" s="27" t="s">
        <v>331</v>
      </c>
      <c r="G252" s="3" t="s">
        <v>162</v>
      </c>
      <c r="H252" s="28">
        <v>100000</v>
      </c>
      <c r="I252" s="13">
        <v>0</v>
      </c>
      <c r="J252" s="13">
        <v>0</v>
      </c>
      <c r="K252" s="2">
        <v>25000</v>
      </c>
      <c r="L252" s="13">
        <v>0</v>
      </c>
      <c r="M252" s="2">
        <v>75000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13">
        <v>0</v>
      </c>
      <c r="U252" s="12">
        <f t="shared" si="4"/>
        <v>0</v>
      </c>
    </row>
    <row r="253" spans="1:21" ht="15.75" customHeight="1" x14ac:dyDescent="0.25">
      <c r="A253" s="26" t="s">
        <v>341</v>
      </c>
      <c r="B253" s="26" t="s">
        <v>590</v>
      </c>
      <c r="C253" s="27" t="s">
        <v>328</v>
      </c>
      <c r="D253" s="27" t="s">
        <v>331</v>
      </c>
      <c r="E253" s="27" t="s">
        <v>331</v>
      </c>
      <c r="F253" s="27" t="s">
        <v>330</v>
      </c>
      <c r="G253" s="3" t="s">
        <v>159</v>
      </c>
      <c r="H253" s="28">
        <v>100000</v>
      </c>
      <c r="I253" s="13">
        <v>0</v>
      </c>
      <c r="J253" s="13">
        <v>0</v>
      </c>
      <c r="K253" s="13">
        <v>0</v>
      </c>
      <c r="L253" s="13">
        <v>0</v>
      </c>
      <c r="M253" s="2">
        <v>100000</v>
      </c>
      <c r="N253" s="12">
        <v>0</v>
      </c>
      <c r="O253" s="12">
        <v>0</v>
      </c>
      <c r="P253" s="12">
        <v>0</v>
      </c>
      <c r="Q253" s="12">
        <v>0</v>
      </c>
      <c r="R253" s="12">
        <v>0</v>
      </c>
      <c r="S253" s="12">
        <v>0</v>
      </c>
      <c r="T253" s="13">
        <v>0</v>
      </c>
      <c r="U253" s="12">
        <f t="shared" si="4"/>
        <v>0</v>
      </c>
    </row>
    <row r="254" spans="1:21" ht="15.75" customHeight="1" x14ac:dyDescent="0.25">
      <c r="A254" s="26" t="s">
        <v>341</v>
      </c>
      <c r="B254" s="26" t="s">
        <v>591</v>
      </c>
      <c r="C254" s="27" t="s">
        <v>271</v>
      </c>
      <c r="D254" s="27" t="s">
        <v>331</v>
      </c>
      <c r="E254" s="27" t="s">
        <v>331</v>
      </c>
      <c r="F254" s="27" t="s">
        <v>330</v>
      </c>
      <c r="G254" s="3" t="s">
        <v>159</v>
      </c>
      <c r="H254" s="28">
        <v>100000</v>
      </c>
      <c r="I254" s="13">
        <v>0</v>
      </c>
      <c r="J254" s="13">
        <v>0</v>
      </c>
      <c r="K254" s="13">
        <v>0</v>
      </c>
      <c r="L254" s="13">
        <v>0</v>
      </c>
      <c r="M254" s="2">
        <v>100000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13">
        <v>0</v>
      </c>
      <c r="U254" s="12">
        <f t="shared" si="4"/>
        <v>0</v>
      </c>
    </row>
    <row r="255" spans="1:21" ht="15.75" customHeight="1" x14ac:dyDescent="0.25">
      <c r="A255" s="26" t="s">
        <v>341</v>
      </c>
      <c r="B255" s="26" t="s">
        <v>592</v>
      </c>
      <c r="C255" s="27" t="s">
        <v>272</v>
      </c>
      <c r="D255" s="27" t="s">
        <v>331</v>
      </c>
      <c r="E255" s="27" t="s">
        <v>331</v>
      </c>
      <c r="F255" t="s">
        <v>330</v>
      </c>
      <c r="G255" s="3" t="s">
        <v>151</v>
      </c>
      <c r="H255" s="28">
        <v>50000</v>
      </c>
      <c r="I255" s="13">
        <v>0</v>
      </c>
      <c r="J255" s="13">
        <v>0</v>
      </c>
      <c r="K255" s="13">
        <v>0</v>
      </c>
      <c r="L255" s="13">
        <v>0</v>
      </c>
      <c r="M255" s="12">
        <v>0</v>
      </c>
      <c r="N255" s="12">
        <v>0</v>
      </c>
      <c r="O255" s="12">
        <v>0</v>
      </c>
      <c r="P255" s="12">
        <v>0</v>
      </c>
      <c r="Q255" s="12">
        <v>50000</v>
      </c>
      <c r="R255" s="12">
        <v>0</v>
      </c>
      <c r="S255" s="12">
        <v>0</v>
      </c>
      <c r="T255" s="13">
        <v>0</v>
      </c>
      <c r="U255" s="12">
        <f t="shared" si="4"/>
        <v>0</v>
      </c>
    </row>
    <row r="256" spans="1:21" ht="15.75" customHeight="1" x14ac:dyDescent="0.25">
      <c r="A256" s="26" t="s">
        <v>341</v>
      </c>
      <c r="B256" s="26" t="s">
        <v>593</v>
      </c>
      <c r="C256" s="27" t="s">
        <v>273</v>
      </c>
      <c r="D256" s="27" t="s">
        <v>331</v>
      </c>
      <c r="E256" s="27" t="s">
        <v>331</v>
      </c>
      <c r="F256" s="27" t="s">
        <v>331</v>
      </c>
      <c r="G256" s="3" t="s">
        <v>156</v>
      </c>
      <c r="H256" s="28">
        <v>100000</v>
      </c>
      <c r="I256" s="13">
        <v>0</v>
      </c>
      <c r="J256" s="13">
        <v>0</v>
      </c>
      <c r="K256" s="13">
        <v>0</v>
      </c>
      <c r="L256" s="13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100000</v>
      </c>
      <c r="R256" s="12">
        <v>0</v>
      </c>
      <c r="S256" s="12">
        <v>0</v>
      </c>
      <c r="T256" s="13">
        <v>0</v>
      </c>
      <c r="U256" s="12">
        <f t="shared" si="4"/>
        <v>0</v>
      </c>
    </row>
    <row r="257" spans="1:21" ht="15.75" customHeight="1" x14ac:dyDescent="0.25">
      <c r="A257" s="26" t="s">
        <v>341</v>
      </c>
      <c r="B257" s="26" t="s">
        <v>594</v>
      </c>
      <c r="C257" s="27" t="s">
        <v>326</v>
      </c>
      <c r="D257" s="27" t="s">
        <v>331</v>
      </c>
      <c r="E257" s="27" t="s">
        <v>331</v>
      </c>
      <c r="F257" t="s">
        <v>330</v>
      </c>
      <c r="G257" s="3" t="s">
        <v>151</v>
      </c>
      <c r="H257" s="28">
        <v>100000</v>
      </c>
      <c r="I257" s="13">
        <v>0</v>
      </c>
      <c r="J257" s="13">
        <v>0</v>
      </c>
      <c r="K257" s="13">
        <v>0</v>
      </c>
      <c r="L257" s="13">
        <v>0</v>
      </c>
      <c r="M257" s="12">
        <v>0</v>
      </c>
      <c r="N257" s="12">
        <v>0</v>
      </c>
      <c r="O257" s="2">
        <v>60000</v>
      </c>
      <c r="P257" s="12">
        <v>0</v>
      </c>
      <c r="Q257" s="12">
        <v>10011</v>
      </c>
      <c r="R257" s="2">
        <v>29989</v>
      </c>
      <c r="S257" s="12">
        <v>0</v>
      </c>
      <c r="T257" s="13">
        <v>0</v>
      </c>
      <c r="U257" s="12">
        <f t="shared" si="4"/>
        <v>0</v>
      </c>
    </row>
    <row r="258" spans="1:21" ht="15.75" customHeight="1" x14ac:dyDescent="0.25">
      <c r="A258" s="26" t="s">
        <v>341</v>
      </c>
      <c r="B258" s="26" t="s">
        <v>595</v>
      </c>
      <c r="C258" s="27" t="s">
        <v>274</v>
      </c>
      <c r="D258" s="27" t="s">
        <v>331</v>
      </c>
      <c r="E258" s="27" t="s">
        <v>331</v>
      </c>
      <c r="F258" s="27" t="s">
        <v>330</v>
      </c>
      <c r="G258" s="3" t="s">
        <v>159</v>
      </c>
      <c r="H258" s="28">
        <v>100000</v>
      </c>
      <c r="I258" s="13">
        <v>0</v>
      </c>
      <c r="J258" s="13">
        <v>0</v>
      </c>
      <c r="K258" s="13">
        <v>0</v>
      </c>
      <c r="L258" s="13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2">
        <v>100000</v>
      </c>
      <c r="S258" s="12">
        <v>0</v>
      </c>
      <c r="T258" s="13">
        <v>0</v>
      </c>
      <c r="U258" s="12">
        <f t="shared" si="4"/>
        <v>0</v>
      </c>
    </row>
    <row r="259" spans="1:21" ht="15.75" customHeight="1" x14ac:dyDescent="0.25">
      <c r="A259" s="26" t="s">
        <v>341</v>
      </c>
      <c r="B259" s="26" t="s">
        <v>596</v>
      </c>
      <c r="C259" s="27" t="s">
        <v>275</v>
      </c>
      <c r="D259" s="27" t="s">
        <v>331</v>
      </c>
      <c r="E259" s="27" t="s">
        <v>331</v>
      </c>
      <c r="F259" s="27" t="s">
        <v>330</v>
      </c>
      <c r="G259" s="3" t="s">
        <v>159</v>
      </c>
      <c r="H259" s="28">
        <v>100000</v>
      </c>
      <c r="I259" s="13">
        <v>0</v>
      </c>
      <c r="J259" s="13">
        <v>0</v>
      </c>
      <c r="K259" s="13">
        <v>0</v>
      </c>
      <c r="L259" s="13">
        <v>0</v>
      </c>
      <c r="M259" s="12">
        <v>0</v>
      </c>
      <c r="N259" s="12">
        <v>0</v>
      </c>
      <c r="O259" s="12">
        <v>0</v>
      </c>
      <c r="P259" s="12">
        <v>0</v>
      </c>
      <c r="Q259" s="12">
        <v>0</v>
      </c>
      <c r="R259" s="2">
        <v>100000</v>
      </c>
      <c r="S259" s="12">
        <v>0</v>
      </c>
      <c r="T259" s="13">
        <v>0</v>
      </c>
      <c r="U259" s="12">
        <f t="shared" si="4"/>
        <v>0</v>
      </c>
    </row>
    <row r="260" spans="1:21" ht="15.75" customHeight="1" x14ac:dyDescent="0.25">
      <c r="A260" s="26" t="s">
        <v>341</v>
      </c>
      <c r="B260" s="26" t="s">
        <v>597</v>
      </c>
      <c r="C260" s="27" t="s">
        <v>276</v>
      </c>
      <c r="D260" s="27" t="s">
        <v>331</v>
      </c>
      <c r="E260" s="27" t="s">
        <v>331</v>
      </c>
      <c r="F260" s="27" t="s">
        <v>330</v>
      </c>
      <c r="G260" s="3" t="s">
        <v>159</v>
      </c>
      <c r="H260" s="28">
        <v>100000</v>
      </c>
      <c r="I260" s="13">
        <v>0</v>
      </c>
      <c r="J260" s="13">
        <v>0</v>
      </c>
      <c r="K260" s="13">
        <v>0</v>
      </c>
      <c r="L260" s="13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2">
        <v>100000</v>
      </c>
      <c r="S260" s="12">
        <v>0</v>
      </c>
      <c r="T260" s="13">
        <v>0</v>
      </c>
      <c r="U260" s="12">
        <f t="shared" si="4"/>
        <v>0</v>
      </c>
    </row>
    <row r="261" spans="1:21" ht="15.75" customHeight="1" x14ac:dyDescent="0.25">
      <c r="A261" s="26" t="s">
        <v>341</v>
      </c>
      <c r="B261" s="26" t="s">
        <v>598</v>
      </c>
      <c r="C261" s="27" t="s">
        <v>277</v>
      </c>
      <c r="D261" s="27" t="s">
        <v>331</v>
      </c>
      <c r="E261" s="27" t="s">
        <v>331</v>
      </c>
      <c r="F261" s="27" t="s">
        <v>330</v>
      </c>
      <c r="G261" s="3" t="s">
        <v>159</v>
      </c>
      <c r="H261" s="28">
        <v>100000</v>
      </c>
      <c r="I261" s="13">
        <v>0</v>
      </c>
      <c r="J261" s="13">
        <v>0</v>
      </c>
      <c r="K261" s="13">
        <v>0</v>
      </c>
      <c r="L261" s="13">
        <v>0</v>
      </c>
      <c r="M261" s="12">
        <v>0</v>
      </c>
      <c r="N261" s="12">
        <v>0</v>
      </c>
      <c r="O261" s="12">
        <v>0</v>
      </c>
      <c r="P261" s="12">
        <v>0</v>
      </c>
      <c r="Q261" s="12">
        <v>0</v>
      </c>
      <c r="R261" s="2">
        <v>100000</v>
      </c>
      <c r="S261" s="12">
        <v>0</v>
      </c>
      <c r="T261" s="13">
        <v>0</v>
      </c>
      <c r="U261" s="12">
        <f t="shared" si="4"/>
        <v>0</v>
      </c>
    </row>
    <row r="262" spans="1:21" ht="15.75" customHeight="1" x14ac:dyDescent="0.25">
      <c r="A262" s="26" t="s">
        <v>341</v>
      </c>
      <c r="B262" s="26" t="s">
        <v>599</v>
      </c>
      <c r="C262" s="27" t="s">
        <v>278</v>
      </c>
      <c r="D262" s="27" t="s">
        <v>331</v>
      </c>
      <c r="E262" s="27" t="s">
        <v>331</v>
      </c>
      <c r="F262" s="27" t="s">
        <v>330</v>
      </c>
      <c r="G262" s="3" t="s">
        <v>159</v>
      </c>
      <c r="H262" s="28">
        <v>100000</v>
      </c>
      <c r="I262" s="2">
        <v>100000</v>
      </c>
      <c r="J262" s="13">
        <v>0</v>
      </c>
      <c r="K262" s="13">
        <v>0</v>
      </c>
      <c r="L262" s="13">
        <v>0</v>
      </c>
      <c r="M262" s="13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13">
        <v>0</v>
      </c>
      <c r="U262" s="12">
        <f t="shared" si="4"/>
        <v>0</v>
      </c>
    </row>
    <row r="263" spans="1:21" ht="15.75" customHeight="1" x14ac:dyDescent="0.25">
      <c r="A263" s="26" t="s">
        <v>341</v>
      </c>
      <c r="B263" s="26" t="s">
        <v>600</v>
      </c>
      <c r="C263" s="27" t="s">
        <v>279</v>
      </c>
      <c r="D263" s="27" t="s">
        <v>331</v>
      </c>
      <c r="E263" s="27" t="s">
        <v>331</v>
      </c>
      <c r="F263" s="27" t="s">
        <v>331</v>
      </c>
      <c r="G263" s="3" t="s">
        <v>157</v>
      </c>
      <c r="H263" s="28">
        <v>100000</v>
      </c>
      <c r="I263" s="12">
        <v>0</v>
      </c>
      <c r="J263" s="13">
        <v>0</v>
      </c>
      <c r="K263" s="13">
        <v>0</v>
      </c>
      <c r="L263" s="2">
        <v>48726</v>
      </c>
      <c r="M263" s="13">
        <v>0</v>
      </c>
      <c r="N263" s="12">
        <v>0</v>
      </c>
      <c r="O263" s="12">
        <v>0</v>
      </c>
      <c r="P263" s="12">
        <v>0</v>
      </c>
      <c r="Q263" s="12">
        <v>0</v>
      </c>
      <c r="R263" s="2">
        <v>51274</v>
      </c>
      <c r="S263" s="12">
        <v>0</v>
      </c>
      <c r="T263" s="13">
        <v>0</v>
      </c>
      <c r="U263" s="12">
        <f t="shared" si="4"/>
        <v>0</v>
      </c>
    </row>
    <row r="264" spans="1:21" ht="15.75" customHeight="1" x14ac:dyDescent="0.25">
      <c r="A264" s="26" t="s">
        <v>341</v>
      </c>
      <c r="B264" s="26" t="s">
        <v>601</v>
      </c>
      <c r="C264" s="27" t="s">
        <v>317</v>
      </c>
      <c r="D264" s="27" t="s">
        <v>331</v>
      </c>
      <c r="E264" s="27" t="s">
        <v>331</v>
      </c>
      <c r="F264" s="27" t="s">
        <v>330</v>
      </c>
      <c r="G264" s="3" t="s">
        <v>242</v>
      </c>
      <c r="H264" s="28">
        <v>111500</v>
      </c>
      <c r="I264" s="12">
        <v>0</v>
      </c>
      <c r="J264" s="13">
        <v>0</v>
      </c>
      <c r="K264" s="13">
        <v>0</v>
      </c>
      <c r="L264" s="12">
        <v>0</v>
      </c>
      <c r="M264" s="13">
        <v>0</v>
      </c>
      <c r="N264" s="12">
        <v>0</v>
      </c>
      <c r="O264" s="12">
        <v>0</v>
      </c>
      <c r="P264" s="12">
        <v>0</v>
      </c>
      <c r="Q264" s="13">
        <v>101774</v>
      </c>
      <c r="R264" s="3">
        <v>9726</v>
      </c>
      <c r="S264" s="12">
        <v>0</v>
      </c>
      <c r="T264" s="13">
        <v>0</v>
      </c>
      <c r="U264" s="12">
        <f t="shared" si="4"/>
        <v>0</v>
      </c>
    </row>
    <row r="265" spans="1:21" ht="15.75" customHeight="1" x14ac:dyDescent="0.25">
      <c r="A265" s="26" t="s">
        <v>341</v>
      </c>
      <c r="B265" s="26" t="s">
        <v>602</v>
      </c>
      <c r="C265" s="27" t="s">
        <v>280</v>
      </c>
      <c r="D265" s="27" t="s">
        <v>331</v>
      </c>
      <c r="E265" s="27" t="s">
        <v>331</v>
      </c>
      <c r="F265" s="27" t="s">
        <v>330</v>
      </c>
      <c r="G265" s="3" t="s">
        <v>160</v>
      </c>
      <c r="H265" s="28">
        <v>100000</v>
      </c>
      <c r="I265" s="12">
        <v>0</v>
      </c>
      <c r="J265" s="13">
        <v>0</v>
      </c>
      <c r="K265" s="13">
        <v>0</v>
      </c>
      <c r="L265" s="12">
        <v>0</v>
      </c>
      <c r="M265" s="13">
        <v>0</v>
      </c>
      <c r="N265" s="12">
        <v>0</v>
      </c>
      <c r="O265" s="12">
        <v>0</v>
      </c>
      <c r="P265" s="12">
        <v>0</v>
      </c>
      <c r="Q265" s="12">
        <v>0</v>
      </c>
      <c r="R265" s="2">
        <v>100000</v>
      </c>
      <c r="S265" s="12">
        <v>0</v>
      </c>
      <c r="T265" s="13">
        <v>0</v>
      </c>
      <c r="U265" s="12">
        <f t="shared" si="4"/>
        <v>0</v>
      </c>
    </row>
    <row r="266" spans="1:21" ht="15.75" customHeight="1" x14ac:dyDescent="0.25">
      <c r="A266" s="26" t="s">
        <v>341</v>
      </c>
      <c r="B266" s="26" t="s">
        <v>603</v>
      </c>
      <c r="C266" s="27" t="s">
        <v>281</v>
      </c>
      <c r="D266" s="27" t="s">
        <v>331</v>
      </c>
      <c r="E266" s="27" t="s">
        <v>331</v>
      </c>
      <c r="F266" s="27" t="s">
        <v>330</v>
      </c>
      <c r="G266" s="3" t="s">
        <v>242</v>
      </c>
      <c r="H266" s="28">
        <v>100000</v>
      </c>
      <c r="I266" s="12">
        <v>0</v>
      </c>
      <c r="J266" s="13">
        <v>0</v>
      </c>
      <c r="K266" s="13">
        <v>0</v>
      </c>
      <c r="L266" s="12">
        <v>0</v>
      </c>
      <c r="M266" s="13">
        <v>0</v>
      </c>
      <c r="N266" s="12">
        <v>0</v>
      </c>
      <c r="O266" s="2">
        <v>40000</v>
      </c>
      <c r="P266" s="12">
        <v>0</v>
      </c>
      <c r="Q266" s="12">
        <v>0</v>
      </c>
      <c r="R266" s="2">
        <v>60000</v>
      </c>
      <c r="S266" s="12">
        <v>0</v>
      </c>
      <c r="T266" s="13">
        <v>0</v>
      </c>
      <c r="U266" s="12">
        <f t="shared" si="4"/>
        <v>0</v>
      </c>
    </row>
    <row r="267" spans="1:21" ht="15.75" customHeight="1" x14ac:dyDescent="0.25">
      <c r="A267" s="26" t="s">
        <v>341</v>
      </c>
      <c r="B267" s="26" t="s">
        <v>604</v>
      </c>
      <c r="C267" s="27" t="s">
        <v>282</v>
      </c>
      <c r="D267" s="27" t="s">
        <v>331</v>
      </c>
      <c r="E267" s="27" t="s">
        <v>331</v>
      </c>
      <c r="F267" s="27" t="s">
        <v>330</v>
      </c>
      <c r="G267" s="3" t="s">
        <v>242</v>
      </c>
      <c r="H267" s="28">
        <v>100000</v>
      </c>
      <c r="I267" s="12">
        <v>0</v>
      </c>
      <c r="J267" s="13">
        <v>0</v>
      </c>
      <c r="K267" s="13">
        <v>0</v>
      </c>
      <c r="L267" s="12">
        <v>0</v>
      </c>
      <c r="M267" s="13">
        <v>0</v>
      </c>
      <c r="N267" s="12">
        <v>0</v>
      </c>
      <c r="O267" s="2">
        <v>40000</v>
      </c>
      <c r="P267" s="12">
        <v>0</v>
      </c>
      <c r="Q267" s="12">
        <v>0</v>
      </c>
      <c r="R267" s="2">
        <v>60000</v>
      </c>
      <c r="S267" s="12">
        <v>0</v>
      </c>
      <c r="T267" s="13">
        <v>0</v>
      </c>
      <c r="U267" s="12">
        <f t="shared" si="4"/>
        <v>0</v>
      </c>
    </row>
    <row r="268" spans="1:21" ht="15.75" customHeight="1" x14ac:dyDescent="0.25">
      <c r="A268" s="26" t="s">
        <v>341</v>
      </c>
      <c r="B268" s="26" t="s">
        <v>605</v>
      </c>
      <c r="C268" s="27" t="s">
        <v>284</v>
      </c>
      <c r="D268" s="27" t="s">
        <v>331</v>
      </c>
      <c r="E268" s="27" t="s">
        <v>331</v>
      </c>
      <c r="F268" t="s">
        <v>330</v>
      </c>
      <c r="G268" s="27" t="s">
        <v>168</v>
      </c>
      <c r="H268" s="28">
        <v>100000</v>
      </c>
      <c r="I268" s="12">
        <v>0</v>
      </c>
      <c r="J268" s="13">
        <v>0</v>
      </c>
      <c r="K268" s="13">
        <v>0</v>
      </c>
      <c r="L268" s="12">
        <v>0</v>
      </c>
      <c r="M268" s="13">
        <v>0</v>
      </c>
      <c r="N268" s="12">
        <v>0</v>
      </c>
      <c r="O268" s="12">
        <v>0</v>
      </c>
      <c r="P268" s="12">
        <v>100000</v>
      </c>
      <c r="Q268" s="12">
        <v>0</v>
      </c>
      <c r="R268" s="12">
        <v>0</v>
      </c>
      <c r="S268" s="12">
        <v>0</v>
      </c>
      <c r="T268" s="13">
        <v>0</v>
      </c>
      <c r="U268" s="12">
        <f t="shared" si="4"/>
        <v>0</v>
      </c>
    </row>
    <row r="269" spans="1:21" ht="15.75" customHeight="1" x14ac:dyDescent="0.25">
      <c r="A269" s="26" t="s">
        <v>341</v>
      </c>
      <c r="B269" s="26" t="s">
        <v>606</v>
      </c>
      <c r="C269" s="27" t="s">
        <v>285</v>
      </c>
      <c r="D269" s="27" t="s">
        <v>331</v>
      </c>
      <c r="E269" s="27" t="s">
        <v>331</v>
      </c>
      <c r="F269" s="27" t="s">
        <v>330</v>
      </c>
      <c r="G269" s="3" t="s">
        <v>152</v>
      </c>
      <c r="H269" s="28">
        <v>100000</v>
      </c>
      <c r="I269" s="12">
        <v>0</v>
      </c>
      <c r="J269" s="13">
        <v>0</v>
      </c>
      <c r="K269" s="13">
        <v>0</v>
      </c>
      <c r="L269" s="12">
        <v>0</v>
      </c>
      <c r="M269" s="13">
        <v>0</v>
      </c>
      <c r="N269" s="12">
        <v>0</v>
      </c>
      <c r="O269" s="12">
        <v>0</v>
      </c>
      <c r="P269" s="12">
        <v>0</v>
      </c>
      <c r="Q269" s="12">
        <v>0</v>
      </c>
      <c r="R269" s="2">
        <v>100000</v>
      </c>
      <c r="S269" s="12">
        <v>0</v>
      </c>
      <c r="T269" s="13">
        <v>0</v>
      </c>
      <c r="U269" s="12">
        <f t="shared" si="4"/>
        <v>0</v>
      </c>
    </row>
    <row r="270" spans="1:21" ht="15.75" customHeight="1" x14ac:dyDescent="0.25">
      <c r="A270" s="26" t="s">
        <v>341</v>
      </c>
      <c r="B270" s="26" t="s">
        <v>607</v>
      </c>
      <c r="C270" s="27" t="s">
        <v>286</v>
      </c>
      <c r="D270" s="27" t="s">
        <v>331</v>
      </c>
      <c r="E270" s="27" t="s">
        <v>331</v>
      </c>
      <c r="F270" s="27" t="s">
        <v>330</v>
      </c>
      <c r="G270" s="3" t="s">
        <v>159</v>
      </c>
      <c r="H270" s="28">
        <v>100000</v>
      </c>
      <c r="I270" s="2">
        <v>38245</v>
      </c>
      <c r="J270" s="13">
        <v>0</v>
      </c>
      <c r="K270" s="13">
        <v>0</v>
      </c>
      <c r="L270" s="2">
        <v>5147</v>
      </c>
      <c r="M270" s="13">
        <v>0</v>
      </c>
      <c r="N270" s="2">
        <v>13927</v>
      </c>
      <c r="O270" s="2">
        <v>14302</v>
      </c>
      <c r="P270" s="12">
        <v>0</v>
      </c>
      <c r="Q270" s="12">
        <v>13500</v>
      </c>
      <c r="R270" s="2">
        <v>14879</v>
      </c>
      <c r="S270" s="12">
        <v>0</v>
      </c>
      <c r="T270" s="13">
        <v>0</v>
      </c>
      <c r="U270" s="12">
        <f t="shared" si="4"/>
        <v>0</v>
      </c>
    </row>
    <row r="271" spans="1:21" ht="15.75" customHeight="1" x14ac:dyDescent="0.25">
      <c r="A271" s="26" t="s">
        <v>341</v>
      </c>
      <c r="B271" s="26" t="s">
        <v>608</v>
      </c>
      <c r="C271" s="27" t="s">
        <v>287</v>
      </c>
      <c r="D271" s="27" t="s">
        <v>331</v>
      </c>
      <c r="E271" s="27" t="s">
        <v>331</v>
      </c>
      <c r="F271" s="27" t="s">
        <v>330</v>
      </c>
      <c r="G271" s="3" t="s">
        <v>152</v>
      </c>
      <c r="H271" s="28">
        <v>100000</v>
      </c>
      <c r="I271" s="13">
        <v>0</v>
      </c>
      <c r="J271" s="13">
        <v>0</v>
      </c>
      <c r="K271" s="13">
        <v>0</v>
      </c>
      <c r="L271" s="12">
        <v>0</v>
      </c>
      <c r="M271" s="13">
        <v>0</v>
      </c>
      <c r="N271" s="12">
        <v>0</v>
      </c>
      <c r="O271" s="12">
        <v>0</v>
      </c>
      <c r="P271" s="12">
        <v>0</v>
      </c>
      <c r="Q271" s="12">
        <v>0</v>
      </c>
      <c r="R271" s="2">
        <v>100000</v>
      </c>
      <c r="S271" s="12">
        <v>0</v>
      </c>
      <c r="T271" s="13">
        <v>0</v>
      </c>
      <c r="U271" s="12">
        <f t="shared" ref="U271:U300" si="5">H271-(I271+J271+K271+L271+M271+N271+O271+P271+Q271+R271+S271+T271)</f>
        <v>0</v>
      </c>
    </row>
    <row r="272" spans="1:21" ht="15.75" customHeight="1" x14ac:dyDescent="0.25">
      <c r="A272" s="26" t="s">
        <v>341</v>
      </c>
      <c r="B272" s="26" t="s">
        <v>609</v>
      </c>
      <c r="C272" s="27" t="s">
        <v>288</v>
      </c>
      <c r="D272" s="27" t="s">
        <v>331</v>
      </c>
      <c r="E272" s="27" t="s">
        <v>331</v>
      </c>
      <c r="F272" s="27" t="s">
        <v>330</v>
      </c>
      <c r="G272" s="3" t="s">
        <v>154</v>
      </c>
      <c r="H272" s="28">
        <v>100000</v>
      </c>
      <c r="I272" s="13">
        <v>0</v>
      </c>
      <c r="J272" s="13">
        <v>0</v>
      </c>
      <c r="K272" s="13">
        <v>0</v>
      </c>
      <c r="L272" s="12">
        <v>0</v>
      </c>
      <c r="M272" s="13">
        <v>0</v>
      </c>
      <c r="N272" s="12">
        <v>0</v>
      </c>
      <c r="O272" s="12">
        <v>0</v>
      </c>
      <c r="P272" s="12">
        <v>0</v>
      </c>
      <c r="Q272" s="12">
        <v>100000</v>
      </c>
      <c r="R272" s="12">
        <v>0</v>
      </c>
      <c r="S272" s="12">
        <v>0</v>
      </c>
      <c r="T272" s="13">
        <v>0</v>
      </c>
      <c r="U272" s="12">
        <f t="shared" si="5"/>
        <v>0</v>
      </c>
    </row>
    <row r="273" spans="1:21" ht="15.75" customHeight="1" x14ac:dyDescent="0.25">
      <c r="A273" s="26" t="s">
        <v>341</v>
      </c>
      <c r="B273" s="26" t="s">
        <v>610</v>
      </c>
      <c r="C273" s="27" t="s">
        <v>289</v>
      </c>
      <c r="D273" s="27" t="s">
        <v>331</v>
      </c>
      <c r="E273" s="27" t="s">
        <v>331</v>
      </c>
      <c r="F273" s="27" t="s">
        <v>330</v>
      </c>
      <c r="G273" s="3" t="s">
        <v>154</v>
      </c>
      <c r="H273" s="28">
        <v>100000</v>
      </c>
      <c r="I273" s="13">
        <v>0</v>
      </c>
      <c r="J273" s="13">
        <v>0</v>
      </c>
      <c r="K273" s="13">
        <v>0</v>
      </c>
      <c r="L273" s="12">
        <v>0</v>
      </c>
      <c r="M273" s="13">
        <v>0</v>
      </c>
      <c r="N273" s="12">
        <v>0</v>
      </c>
      <c r="O273" s="12">
        <v>0</v>
      </c>
      <c r="P273" s="12">
        <v>0</v>
      </c>
      <c r="Q273" s="12">
        <v>100000</v>
      </c>
      <c r="R273" s="12">
        <v>0</v>
      </c>
      <c r="S273" s="12">
        <v>0</v>
      </c>
      <c r="T273" s="13">
        <v>0</v>
      </c>
      <c r="U273" s="12">
        <f t="shared" si="5"/>
        <v>0</v>
      </c>
    </row>
    <row r="274" spans="1:21" ht="15.75" customHeight="1" x14ac:dyDescent="0.25">
      <c r="A274" s="26" t="s">
        <v>341</v>
      </c>
      <c r="B274" s="26" t="s">
        <v>611</v>
      </c>
      <c r="C274" s="27" t="s">
        <v>290</v>
      </c>
      <c r="D274" s="27" t="s">
        <v>331</v>
      </c>
      <c r="E274" s="27" t="s">
        <v>331</v>
      </c>
      <c r="F274" s="27" t="s">
        <v>330</v>
      </c>
      <c r="G274" s="3" t="s">
        <v>154</v>
      </c>
      <c r="H274" s="28">
        <v>100000</v>
      </c>
      <c r="I274" s="13">
        <v>0</v>
      </c>
      <c r="J274" s="13">
        <v>0</v>
      </c>
      <c r="K274" s="13">
        <v>0</v>
      </c>
      <c r="L274" s="12">
        <v>0</v>
      </c>
      <c r="M274" s="13">
        <v>0</v>
      </c>
      <c r="N274" s="12">
        <v>0</v>
      </c>
      <c r="O274" s="12">
        <v>0</v>
      </c>
      <c r="P274" s="12">
        <v>0</v>
      </c>
      <c r="Q274" s="12">
        <v>100000</v>
      </c>
      <c r="R274" s="12">
        <v>0</v>
      </c>
      <c r="S274" s="12">
        <v>0</v>
      </c>
      <c r="T274" s="13">
        <v>0</v>
      </c>
      <c r="U274" s="12">
        <f t="shared" si="5"/>
        <v>0</v>
      </c>
    </row>
    <row r="275" spans="1:21" ht="15.75" customHeight="1" x14ac:dyDescent="0.25">
      <c r="A275" s="26" t="s">
        <v>341</v>
      </c>
      <c r="B275" s="26" t="s">
        <v>612</v>
      </c>
      <c r="C275" s="27" t="s">
        <v>291</v>
      </c>
      <c r="D275" s="27" t="s">
        <v>331</v>
      </c>
      <c r="E275" s="27" t="s">
        <v>331</v>
      </c>
      <c r="F275" s="27" t="s">
        <v>331</v>
      </c>
      <c r="G275" s="3" t="s">
        <v>157</v>
      </c>
      <c r="H275" s="28">
        <v>100000</v>
      </c>
      <c r="I275" s="13">
        <v>0</v>
      </c>
      <c r="J275" s="13">
        <v>0</v>
      </c>
      <c r="K275" s="13">
        <v>0</v>
      </c>
      <c r="L275" s="2">
        <v>100000</v>
      </c>
      <c r="M275" s="13">
        <v>0</v>
      </c>
      <c r="N275" s="12">
        <v>0</v>
      </c>
      <c r="O275" s="12">
        <v>0</v>
      </c>
      <c r="P275" s="12">
        <v>0</v>
      </c>
      <c r="Q275" s="12">
        <v>0</v>
      </c>
      <c r="R275" s="12">
        <v>0</v>
      </c>
      <c r="S275" s="12">
        <v>0</v>
      </c>
      <c r="T275" s="13">
        <v>0</v>
      </c>
      <c r="U275" s="12">
        <f t="shared" si="5"/>
        <v>0</v>
      </c>
    </row>
    <row r="276" spans="1:21" ht="15.75" customHeight="1" x14ac:dyDescent="0.25">
      <c r="A276" s="26" t="s">
        <v>341</v>
      </c>
      <c r="B276" s="26" t="s">
        <v>613</v>
      </c>
      <c r="C276" s="27" t="s">
        <v>292</v>
      </c>
      <c r="D276" s="27" t="s">
        <v>331</v>
      </c>
      <c r="E276" s="27" t="s">
        <v>331</v>
      </c>
      <c r="F276" s="27" t="s">
        <v>331</v>
      </c>
      <c r="G276" s="3" t="s">
        <v>157</v>
      </c>
      <c r="H276" s="28">
        <v>100000</v>
      </c>
      <c r="I276" s="13">
        <v>0</v>
      </c>
      <c r="J276" s="13">
        <v>0</v>
      </c>
      <c r="K276" s="13">
        <v>0</v>
      </c>
      <c r="L276" s="2">
        <v>100000</v>
      </c>
      <c r="M276" s="13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13">
        <v>0</v>
      </c>
      <c r="U276" s="12">
        <f t="shared" si="5"/>
        <v>0</v>
      </c>
    </row>
    <row r="277" spans="1:21" ht="15.75" customHeight="1" x14ac:dyDescent="0.25">
      <c r="A277" s="26" t="s">
        <v>341</v>
      </c>
      <c r="B277" s="26" t="s">
        <v>614</v>
      </c>
      <c r="C277" s="27" t="s">
        <v>293</v>
      </c>
      <c r="D277" s="27" t="s">
        <v>331</v>
      </c>
      <c r="E277" s="27" t="s">
        <v>331</v>
      </c>
      <c r="F277" s="27" t="s">
        <v>331</v>
      </c>
      <c r="G277" s="3" t="s">
        <v>157</v>
      </c>
      <c r="H277" s="28">
        <v>100000</v>
      </c>
      <c r="I277" s="13">
        <v>0</v>
      </c>
      <c r="J277" s="13">
        <v>0</v>
      </c>
      <c r="K277" s="13">
        <v>0</v>
      </c>
      <c r="L277" s="2">
        <v>100000</v>
      </c>
      <c r="M277" s="13">
        <v>0</v>
      </c>
      <c r="N277" s="12">
        <v>0</v>
      </c>
      <c r="O277" s="12">
        <v>0</v>
      </c>
      <c r="P277" s="12">
        <v>0</v>
      </c>
      <c r="Q277" s="12">
        <v>0</v>
      </c>
      <c r="R277" s="12">
        <v>0</v>
      </c>
      <c r="S277" s="12">
        <v>0</v>
      </c>
      <c r="T277" s="13">
        <v>0</v>
      </c>
      <c r="U277" s="12">
        <f t="shared" si="5"/>
        <v>0</v>
      </c>
    </row>
    <row r="278" spans="1:21" ht="15.75" customHeight="1" x14ac:dyDescent="0.25">
      <c r="A278" s="26" t="s">
        <v>341</v>
      </c>
      <c r="B278" s="26" t="s">
        <v>615</v>
      </c>
      <c r="C278" s="27" t="s">
        <v>318</v>
      </c>
      <c r="D278" s="27" t="s">
        <v>331</v>
      </c>
      <c r="E278" s="27" t="s">
        <v>331</v>
      </c>
      <c r="F278" s="27" t="s">
        <v>330</v>
      </c>
      <c r="G278" s="3" t="s">
        <v>179</v>
      </c>
      <c r="H278" s="28">
        <v>100000</v>
      </c>
      <c r="I278" s="13">
        <v>0</v>
      </c>
      <c r="J278" s="13">
        <v>0</v>
      </c>
      <c r="K278" s="13">
        <v>0</v>
      </c>
      <c r="L278" s="2">
        <v>100000</v>
      </c>
      <c r="M278" s="13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13">
        <v>0</v>
      </c>
      <c r="U278" s="12">
        <f t="shared" si="5"/>
        <v>0</v>
      </c>
    </row>
    <row r="279" spans="1:21" ht="15.75" customHeight="1" x14ac:dyDescent="0.25">
      <c r="A279" s="26" t="s">
        <v>341</v>
      </c>
      <c r="B279" s="26" t="s">
        <v>616</v>
      </c>
      <c r="C279" s="27" t="s">
        <v>325</v>
      </c>
      <c r="D279" s="27" t="s">
        <v>331</v>
      </c>
      <c r="E279" s="27" t="s">
        <v>331</v>
      </c>
      <c r="F279" s="27" t="s">
        <v>330</v>
      </c>
      <c r="G279" s="3" t="s">
        <v>179</v>
      </c>
      <c r="H279" s="28">
        <v>100000</v>
      </c>
      <c r="I279" s="13">
        <v>0</v>
      </c>
      <c r="J279" s="13">
        <v>0</v>
      </c>
      <c r="K279" s="13">
        <v>0</v>
      </c>
      <c r="L279" s="13">
        <v>0</v>
      </c>
      <c r="M279" s="13">
        <v>0</v>
      </c>
      <c r="N279" s="12">
        <v>0</v>
      </c>
      <c r="O279" s="12">
        <v>0</v>
      </c>
      <c r="P279" s="2">
        <v>100000</v>
      </c>
      <c r="Q279" s="12">
        <v>0</v>
      </c>
      <c r="R279" s="12">
        <v>0</v>
      </c>
      <c r="S279" s="12">
        <v>0</v>
      </c>
      <c r="T279" s="13">
        <v>0</v>
      </c>
      <c r="U279" s="12">
        <f t="shared" si="5"/>
        <v>0</v>
      </c>
    </row>
    <row r="280" spans="1:21" ht="15.75" customHeight="1" x14ac:dyDescent="0.25">
      <c r="A280" s="26" t="s">
        <v>341</v>
      </c>
      <c r="B280" s="26" t="s">
        <v>617</v>
      </c>
      <c r="C280" s="27" t="s">
        <v>294</v>
      </c>
      <c r="D280" s="27" t="s">
        <v>331</v>
      </c>
      <c r="E280" s="27" t="s">
        <v>331</v>
      </c>
      <c r="F280" s="27" t="s">
        <v>330</v>
      </c>
      <c r="G280" s="3" t="s">
        <v>179</v>
      </c>
      <c r="H280" s="28">
        <v>100000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2">
        <v>0</v>
      </c>
      <c r="O280" s="12">
        <v>0</v>
      </c>
      <c r="P280" s="12">
        <v>0</v>
      </c>
      <c r="Q280" s="12">
        <v>0</v>
      </c>
      <c r="R280" s="2">
        <v>100000</v>
      </c>
      <c r="S280" s="12">
        <v>0</v>
      </c>
      <c r="T280" s="13">
        <v>0</v>
      </c>
      <c r="U280" s="12">
        <f t="shared" si="5"/>
        <v>0</v>
      </c>
    </row>
    <row r="281" spans="1:21" ht="15.75" customHeight="1" x14ac:dyDescent="0.25">
      <c r="A281" s="26" t="s">
        <v>341</v>
      </c>
      <c r="B281" s="26" t="s">
        <v>618</v>
      </c>
      <c r="C281" s="27" t="s">
        <v>295</v>
      </c>
      <c r="D281" s="27" t="s">
        <v>331</v>
      </c>
      <c r="E281" s="27" t="s">
        <v>331</v>
      </c>
      <c r="F281" s="27" t="s">
        <v>330</v>
      </c>
      <c r="G281" s="3" t="s">
        <v>179</v>
      </c>
      <c r="H281" s="28">
        <v>100000</v>
      </c>
      <c r="I281" s="13">
        <v>0</v>
      </c>
      <c r="J281" s="13">
        <v>0</v>
      </c>
      <c r="K281" s="13">
        <v>0</v>
      </c>
      <c r="L281" s="13">
        <v>0</v>
      </c>
      <c r="M281" s="13">
        <v>0</v>
      </c>
      <c r="N281" s="12">
        <v>0</v>
      </c>
      <c r="O281" s="12">
        <v>0</v>
      </c>
      <c r="P281" s="12">
        <v>0</v>
      </c>
      <c r="Q281" s="12">
        <v>0</v>
      </c>
      <c r="R281" s="2">
        <v>100000</v>
      </c>
      <c r="S281" s="12">
        <v>0</v>
      </c>
      <c r="T281" s="13">
        <v>0</v>
      </c>
      <c r="U281" s="12">
        <f t="shared" si="5"/>
        <v>0</v>
      </c>
    </row>
    <row r="282" spans="1:21" ht="15.75" customHeight="1" x14ac:dyDescent="0.25">
      <c r="A282" s="26" t="s">
        <v>341</v>
      </c>
      <c r="B282" s="26" t="s">
        <v>619</v>
      </c>
      <c r="C282" s="27" t="s">
        <v>296</v>
      </c>
      <c r="D282" s="27" t="s">
        <v>331</v>
      </c>
      <c r="E282" s="27" t="s">
        <v>331</v>
      </c>
      <c r="F282" s="27" t="s">
        <v>330</v>
      </c>
      <c r="G282" s="3" t="s">
        <v>179</v>
      </c>
      <c r="H282" s="28">
        <v>100000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2">
        <v>0</v>
      </c>
      <c r="O282" s="12">
        <v>0</v>
      </c>
      <c r="P282" s="2">
        <v>100000</v>
      </c>
      <c r="Q282" s="12">
        <v>0</v>
      </c>
      <c r="R282" s="12">
        <v>0</v>
      </c>
      <c r="S282" s="12">
        <v>0</v>
      </c>
      <c r="T282" s="13">
        <v>0</v>
      </c>
      <c r="U282" s="12">
        <f t="shared" si="5"/>
        <v>0</v>
      </c>
    </row>
    <row r="283" spans="1:21" ht="15.75" customHeight="1" x14ac:dyDescent="0.25">
      <c r="A283" s="26" t="s">
        <v>341</v>
      </c>
      <c r="B283" s="26" t="s">
        <v>620</v>
      </c>
      <c r="C283" s="27" t="s">
        <v>297</v>
      </c>
      <c r="D283" s="27" t="s">
        <v>331</v>
      </c>
      <c r="E283" s="27" t="s">
        <v>331</v>
      </c>
      <c r="F283" s="27" t="s">
        <v>330</v>
      </c>
      <c r="G283" s="3" t="s">
        <v>159</v>
      </c>
      <c r="H283" s="28">
        <v>100000</v>
      </c>
      <c r="I283" s="13">
        <v>0</v>
      </c>
      <c r="J283" s="13">
        <v>0</v>
      </c>
      <c r="K283" s="13">
        <v>0</v>
      </c>
      <c r="L283" s="13">
        <v>0</v>
      </c>
      <c r="M283" s="13">
        <v>0</v>
      </c>
      <c r="N283" s="12">
        <v>0</v>
      </c>
      <c r="O283" s="12">
        <v>0</v>
      </c>
      <c r="P283" s="2">
        <v>100000</v>
      </c>
      <c r="Q283" s="12">
        <v>0</v>
      </c>
      <c r="R283" s="12">
        <v>0</v>
      </c>
      <c r="S283" s="12">
        <v>0</v>
      </c>
      <c r="T283" s="13">
        <v>0</v>
      </c>
      <c r="U283" s="12">
        <f t="shared" si="5"/>
        <v>0</v>
      </c>
    </row>
    <row r="284" spans="1:21" ht="15.75" customHeight="1" x14ac:dyDescent="0.25">
      <c r="A284" s="26" t="s">
        <v>341</v>
      </c>
      <c r="B284" s="26" t="s">
        <v>621</v>
      </c>
      <c r="C284" s="27" t="s">
        <v>298</v>
      </c>
      <c r="D284" s="27" t="s">
        <v>331</v>
      </c>
      <c r="E284" s="27" t="s">
        <v>331</v>
      </c>
      <c r="F284" s="27" t="s">
        <v>330</v>
      </c>
      <c r="G284" s="3" t="s">
        <v>159</v>
      </c>
      <c r="H284" s="28">
        <v>100000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2">
        <v>100000</v>
      </c>
      <c r="T284" s="13">
        <v>0</v>
      </c>
      <c r="U284" s="12">
        <f t="shared" si="5"/>
        <v>0</v>
      </c>
    </row>
    <row r="285" spans="1:21" ht="15.75" customHeight="1" x14ac:dyDescent="0.25">
      <c r="A285" s="26" t="s">
        <v>341</v>
      </c>
      <c r="B285" s="26" t="s">
        <v>622</v>
      </c>
      <c r="C285" s="27" t="s">
        <v>299</v>
      </c>
      <c r="D285" s="27" t="s">
        <v>331</v>
      </c>
      <c r="E285" s="27" t="s">
        <v>331</v>
      </c>
      <c r="F285" s="27" t="s">
        <v>330</v>
      </c>
      <c r="G285" s="3" t="s">
        <v>159</v>
      </c>
      <c r="H285" s="28">
        <v>100000</v>
      </c>
      <c r="I285" s="13">
        <v>0</v>
      </c>
      <c r="J285" s="13">
        <v>0</v>
      </c>
      <c r="K285" s="13">
        <v>0</v>
      </c>
      <c r="L285" s="13">
        <v>0</v>
      </c>
      <c r="M285" s="13">
        <v>0</v>
      </c>
      <c r="N285" s="12">
        <v>0</v>
      </c>
      <c r="O285" s="12">
        <v>0</v>
      </c>
      <c r="P285" s="2">
        <v>100000</v>
      </c>
      <c r="Q285" s="12">
        <v>0</v>
      </c>
      <c r="R285" s="12">
        <v>0</v>
      </c>
      <c r="S285" s="12">
        <v>0</v>
      </c>
      <c r="T285" s="13">
        <v>0</v>
      </c>
      <c r="U285" s="12">
        <f t="shared" si="5"/>
        <v>0</v>
      </c>
    </row>
    <row r="286" spans="1:21" ht="15.75" customHeight="1" x14ac:dyDescent="0.25">
      <c r="A286" s="26" t="s">
        <v>341</v>
      </c>
      <c r="B286" s="26" t="s">
        <v>623</v>
      </c>
      <c r="C286" s="27" t="s">
        <v>300</v>
      </c>
      <c r="D286" s="27" t="s">
        <v>331</v>
      </c>
      <c r="E286" s="27" t="s">
        <v>331</v>
      </c>
      <c r="F286" s="27" t="s">
        <v>330</v>
      </c>
      <c r="G286" s="3" t="s">
        <v>159</v>
      </c>
      <c r="H286" s="28">
        <v>100000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2">
        <v>100000</v>
      </c>
      <c r="T286" s="13">
        <v>0</v>
      </c>
      <c r="U286" s="12">
        <f t="shared" si="5"/>
        <v>0</v>
      </c>
    </row>
    <row r="287" spans="1:21" ht="15.75" customHeight="1" x14ac:dyDescent="0.25">
      <c r="A287" s="26" t="s">
        <v>341</v>
      </c>
      <c r="B287" s="26" t="s">
        <v>624</v>
      </c>
      <c r="C287" s="27" t="s">
        <v>301</v>
      </c>
      <c r="D287" s="27" t="s">
        <v>331</v>
      </c>
      <c r="E287" s="27" t="s">
        <v>331</v>
      </c>
      <c r="F287" s="27" t="s">
        <v>330</v>
      </c>
      <c r="G287" s="3" t="s">
        <v>242</v>
      </c>
      <c r="H287" s="28">
        <v>100000</v>
      </c>
      <c r="I287" s="13">
        <v>0</v>
      </c>
      <c r="J287" s="13">
        <v>0</v>
      </c>
      <c r="K287" s="2">
        <v>46712</v>
      </c>
      <c r="L287" s="13">
        <v>0</v>
      </c>
      <c r="M287" s="13">
        <v>0</v>
      </c>
      <c r="N287" s="12">
        <v>40000</v>
      </c>
      <c r="O287" s="12">
        <v>0</v>
      </c>
      <c r="P287" s="12">
        <v>0</v>
      </c>
      <c r="Q287" s="12">
        <v>0</v>
      </c>
      <c r="R287" s="12">
        <v>10000</v>
      </c>
      <c r="S287" s="12">
        <v>0</v>
      </c>
      <c r="T287" s="13">
        <v>3288</v>
      </c>
      <c r="U287" s="12">
        <f t="shared" si="5"/>
        <v>0</v>
      </c>
    </row>
    <row r="288" spans="1:21" ht="15.75" customHeight="1" x14ac:dyDescent="0.25">
      <c r="A288" s="26" t="s">
        <v>341</v>
      </c>
      <c r="B288" s="26" t="s">
        <v>625</v>
      </c>
      <c r="C288" s="27" t="s">
        <v>302</v>
      </c>
      <c r="D288" s="27" t="s">
        <v>331</v>
      </c>
      <c r="E288" s="27" t="s">
        <v>331</v>
      </c>
      <c r="F288" s="27" t="s">
        <v>330</v>
      </c>
      <c r="G288" s="3" t="s">
        <v>242</v>
      </c>
      <c r="H288" s="28">
        <v>100000</v>
      </c>
      <c r="I288" s="13">
        <v>0</v>
      </c>
      <c r="J288" s="13">
        <v>0</v>
      </c>
      <c r="K288" s="2">
        <v>16668</v>
      </c>
      <c r="L288" s="13">
        <v>0</v>
      </c>
      <c r="M288" s="13">
        <v>0</v>
      </c>
      <c r="N288" s="12">
        <v>0</v>
      </c>
      <c r="O288" s="12">
        <v>20000</v>
      </c>
      <c r="P288" s="12">
        <v>0</v>
      </c>
      <c r="Q288" s="12">
        <v>0</v>
      </c>
      <c r="R288" s="12">
        <v>0</v>
      </c>
      <c r="S288" s="12">
        <v>60000</v>
      </c>
      <c r="T288" s="13">
        <v>3332</v>
      </c>
      <c r="U288" s="12">
        <f t="shared" si="5"/>
        <v>0</v>
      </c>
    </row>
    <row r="289" spans="1:21" ht="15.75" customHeight="1" x14ac:dyDescent="0.25">
      <c r="A289" s="26" t="s">
        <v>341</v>
      </c>
      <c r="B289" s="26" t="s">
        <v>626</v>
      </c>
      <c r="C289" s="27" t="s">
        <v>303</v>
      </c>
      <c r="D289" s="27" t="s">
        <v>331</v>
      </c>
      <c r="E289" s="27" t="s">
        <v>331</v>
      </c>
      <c r="F289" s="27" t="s">
        <v>330</v>
      </c>
      <c r="G289" s="3" t="s">
        <v>242</v>
      </c>
      <c r="H289" s="28">
        <v>100000</v>
      </c>
      <c r="I289" s="13">
        <v>0</v>
      </c>
      <c r="J289" s="13">
        <v>0</v>
      </c>
      <c r="K289" s="12">
        <v>0</v>
      </c>
      <c r="L289" s="13">
        <v>0</v>
      </c>
      <c r="M289" s="13">
        <v>0</v>
      </c>
      <c r="N289" s="12">
        <v>0</v>
      </c>
      <c r="O289" s="12">
        <v>0</v>
      </c>
      <c r="P289" s="2">
        <v>100000</v>
      </c>
      <c r="Q289" s="12">
        <v>0</v>
      </c>
      <c r="R289" s="12">
        <v>0</v>
      </c>
      <c r="S289" s="12">
        <v>0</v>
      </c>
      <c r="T289" s="13">
        <v>0</v>
      </c>
      <c r="U289" s="12">
        <f t="shared" si="5"/>
        <v>0</v>
      </c>
    </row>
    <row r="290" spans="1:21" ht="15.75" customHeight="1" x14ac:dyDescent="0.25">
      <c r="A290" s="26" t="s">
        <v>341</v>
      </c>
      <c r="B290" s="26" t="s">
        <v>627</v>
      </c>
      <c r="C290" s="27" t="s">
        <v>304</v>
      </c>
      <c r="D290" s="27" t="s">
        <v>331</v>
      </c>
      <c r="E290" s="27" t="s">
        <v>331</v>
      </c>
      <c r="F290" s="27" t="s">
        <v>330</v>
      </c>
      <c r="G290" s="3" t="s">
        <v>242</v>
      </c>
      <c r="H290" s="28">
        <v>100000</v>
      </c>
      <c r="I290" s="13">
        <v>0</v>
      </c>
      <c r="J290" s="13">
        <v>0</v>
      </c>
      <c r="K290" s="2">
        <v>16668</v>
      </c>
      <c r="L290" s="13">
        <v>0</v>
      </c>
      <c r="M290" s="13">
        <v>43332</v>
      </c>
      <c r="N290" s="12">
        <v>0</v>
      </c>
      <c r="O290" s="12">
        <v>0</v>
      </c>
      <c r="P290" s="12">
        <v>0</v>
      </c>
      <c r="Q290" s="12">
        <v>40000</v>
      </c>
      <c r="R290" s="12">
        <v>0</v>
      </c>
      <c r="S290" s="12">
        <v>0</v>
      </c>
      <c r="T290" s="13">
        <v>0</v>
      </c>
      <c r="U290" s="12">
        <f t="shared" si="5"/>
        <v>0</v>
      </c>
    </row>
    <row r="291" spans="1:21" ht="15.75" customHeight="1" x14ac:dyDescent="0.25">
      <c r="A291" s="26" t="s">
        <v>341</v>
      </c>
      <c r="B291" s="26" t="s">
        <v>628</v>
      </c>
      <c r="C291" s="27" t="s">
        <v>305</v>
      </c>
      <c r="D291" s="27" t="s">
        <v>331</v>
      </c>
      <c r="E291" s="27" t="s">
        <v>331</v>
      </c>
      <c r="F291" s="27" t="s">
        <v>330</v>
      </c>
      <c r="G291" s="3" t="s">
        <v>242</v>
      </c>
      <c r="H291" s="28">
        <v>100000</v>
      </c>
      <c r="I291" s="13">
        <v>0</v>
      </c>
      <c r="J291" s="13">
        <v>0</v>
      </c>
      <c r="K291" s="2">
        <v>46712</v>
      </c>
      <c r="L291" s="13">
        <v>0</v>
      </c>
      <c r="M291" s="13">
        <v>0</v>
      </c>
      <c r="N291" s="12">
        <v>25000</v>
      </c>
      <c r="O291" s="12">
        <v>0</v>
      </c>
      <c r="P291" s="12">
        <v>0</v>
      </c>
      <c r="Q291" s="12">
        <v>0</v>
      </c>
      <c r="R291" s="12">
        <v>28288</v>
      </c>
      <c r="S291" s="12">
        <v>0</v>
      </c>
      <c r="T291" s="13">
        <v>0</v>
      </c>
      <c r="U291" s="12">
        <f t="shared" si="5"/>
        <v>0</v>
      </c>
    </row>
    <row r="292" spans="1:21" ht="15.75" customHeight="1" x14ac:dyDescent="0.25">
      <c r="A292" s="26" t="s">
        <v>341</v>
      </c>
      <c r="B292" s="26" t="s">
        <v>629</v>
      </c>
      <c r="C292" s="27" t="s">
        <v>306</v>
      </c>
      <c r="D292" s="27" t="s">
        <v>331</v>
      </c>
      <c r="E292" s="27" t="s">
        <v>331</v>
      </c>
      <c r="F292" s="27" t="s">
        <v>330</v>
      </c>
      <c r="G292" s="3" t="s">
        <v>185</v>
      </c>
      <c r="H292" s="28">
        <v>100000</v>
      </c>
      <c r="I292" s="13">
        <v>0</v>
      </c>
      <c r="J292" s="13">
        <v>0</v>
      </c>
      <c r="K292" s="2">
        <v>100000</v>
      </c>
      <c r="L292" s="13">
        <v>0</v>
      </c>
      <c r="M292" s="13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13">
        <v>0</v>
      </c>
      <c r="U292" s="12">
        <f t="shared" si="5"/>
        <v>0</v>
      </c>
    </row>
    <row r="293" spans="1:21" ht="15.75" customHeight="1" x14ac:dyDescent="0.25">
      <c r="A293" s="26" t="s">
        <v>341</v>
      </c>
      <c r="B293" s="26" t="s">
        <v>630</v>
      </c>
      <c r="C293" s="27" t="s">
        <v>307</v>
      </c>
      <c r="D293" s="27" t="s">
        <v>330</v>
      </c>
      <c r="E293" s="27" t="s">
        <v>241</v>
      </c>
      <c r="F293" s="27" t="s">
        <v>330</v>
      </c>
      <c r="G293" s="3" t="s">
        <v>185</v>
      </c>
      <c r="H293" s="28">
        <v>100000</v>
      </c>
      <c r="I293" s="13">
        <v>0</v>
      </c>
      <c r="J293" s="13">
        <v>0</v>
      </c>
      <c r="K293" s="2">
        <v>50000</v>
      </c>
      <c r="L293" s="13">
        <v>0</v>
      </c>
      <c r="M293" s="13">
        <v>0</v>
      </c>
      <c r="N293" s="12">
        <v>0</v>
      </c>
      <c r="O293" s="12">
        <v>0</v>
      </c>
      <c r="P293" s="12">
        <v>0</v>
      </c>
      <c r="Q293" s="12">
        <v>0</v>
      </c>
      <c r="R293" s="12">
        <v>0</v>
      </c>
      <c r="S293" s="12">
        <v>0</v>
      </c>
      <c r="T293" s="13">
        <v>0</v>
      </c>
      <c r="U293" s="12">
        <f t="shared" si="5"/>
        <v>50000</v>
      </c>
    </row>
    <row r="294" spans="1:21" ht="15.75" customHeight="1" x14ac:dyDescent="0.25">
      <c r="A294" s="26" t="s">
        <v>341</v>
      </c>
      <c r="B294" s="26" t="s">
        <v>631</v>
      </c>
      <c r="C294" s="27" t="s">
        <v>308</v>
      </c>
      <c r="D294" s="27" t="s">
        <v>330</v>
      </c>
      <c r="E294" s="27" t="s">
        <v>241</v>
      </c>
      <c r="F294" s="27" t="s">
        <v>331</v>
      </c>
      <c r="G294" s="3" t="s">
        <v>156</v>
      </c>
      <c r="H294" s="28">
        <v>100000</v>
      </c>
      <c r="I294" s="13">
        <v>0</v>
      </c>
      <c r="J294" s="13">
        <v>0</v>
      </c>
      <c r="K294" s="13">
        <v>0</v>
      </c>
      <c r="L294" s="13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2">
        <v>20000</v>
      </c>
      <c r="S294" s="12">
        <v>0</v>
      </c>
      <c r="T294" s="13">
        <v>0</v>
      </c>
      <c r="U294" s="12">
        <f t="shared" si="5"/>
        <v>80000</v>
      </c>
    </row>
    <row r="295" spans="1:21" ht="15.75" customHeight="1" x14ac:dyDescent="0.25">
      <c r="A295" s="26" t="s">
        <v>341</v>
      </c>
      <c r="B295" s="26" t="s">
        <v>632</v>
      </c>
      <c r="C295" s="27" t="s">
        <v>309</v>
      </c>
      <c r="D295" s="27" t="s">
        <v>330</v>
      </c>
      <c r="E295" s="27" t="s">
        <v>241</v>
      </c>
      <c r="F295" s="27" t="s">
        <v>331</v>
      </c>
      <c r="G295" s="3" t="s">
        <v>156</v>
      </c>
      <c r="H295" s="28">
        <v>100000</v>
      </c>
      <c r="I295" s="13">
        <v>0</v>
      </c>
      <c r="J295" s="13">
        <v>0</v>
      </c>
      <c r="K295" s="13">
        <v>0</v>
      </c>
      <c r="L295" s="13">
        <v>0</v>
      </c>
      <c r="M295" s="12">
        <v>0</v>
      </c>
      <c r="N295" s="12">
        <v>0</v>
      </c>
      <c r="O295" s="12">
        <v>0</v>
      </c>
      <c r="P295" s="12">
        <v>0</v>
      </c>
      <c r="Q295" s="12">
        <v>0</v>
      </c>
      <c r="R295" s="2">
        <v>25000</v>
      </c>
      <c r="S295" s="12">
        <v>0</v>
      </c>
      <c r="T295" s="13">
        <v>0</v>
      </c>
      <c r="U295" s="12">
        <f t="shared" si="5"/>
        <v>75000</v>
      </c>
    </row>
    <row r="296" spans="1:21" ht="15.75" customHeight="1" x14ac:dyDescent="0.25">
      <c r="A296" s="26" t="s">
        <v>341</v>
      </c>
      <c r="B296" s="26" t="s">
        <v>633</v>
      </c>
      <c r="C296" s="27" t="s">
        <v>310</v>
      </c>
      <c r="D296" s="27" t="s">
        <v>330</v>
      </c>
      <c r="E296" s="27" t="s">
        <v>241</v>
      </c>
      <c r="F296" s="27" t="s">
        <v>331</v>
      </c>
      <c r="G296" s="3" t="s">
        <v>156</v>
      </c>
      <c r="H296" s="28">
        <v>100000</v>
      </c>
      <c r="I296" s="13">
        <v>0</v>
      </c>
      <c r="J296" s="13">
        <v>0</v>
      </c>
      <c r="K296" s="13">
        <v>0</v>
      </c>
      <c r="L296" s="13">
        <v>0</v>
      </c>
      <c r="M296" s="12">
        <v>0</v>
      </c>
      <c r="N296" s="12">
        <v>0</v>
      </c>
      <c r="O296" s="12">
        <v>0</v>
      </c>
      <c r="P296" s="2">
        <v>10000</v>
      </c>
      <c r="Q296" s="12">
        <v>0</v>
      </c>
      <c r="R296" s="12">
        <v>10000</v>
      </c>
      <c r="S296" s="12">
        <v>0</v>
      </c>
      <c r="T296" s="13">
        <v>0</v>
      </c>
      <c r="U296" s="12">
        <f t="shared" si="5"/>
        <v>80000</v>
      </c>
    </row>
    <row r="297" spans="1:21" ht="15.75" customHeight="1" x14ac:dyDescent="0.25">
      <c r="A297" s="26" t="s">
        <v>341</v>
      </c>
      <c r="B297" s="26" t="s">
        <v>634</v>
      </c>
      <c r="C297" s="27" t="s">
        <v>311</v>
      </c>
      <c r="D297" s="27" t="s">
        <v>330</v>
      </c>
      <c r="E297" s="27" t="s">
        <v>241</v>
      </c>
      <c r="F297" s="27" t="s">
        <v>331</v>
      </c>
      <c r="G297" s="3" t="s">
        <v>156</v>
      </c>
      <c r="H297" s="28">
        <v>100000</v>
      </c>
      <c r="I297" s="13">
        <v>0</v>
      </c>
      <c r="J297" s="13">
        <v>0</v>
      </c>
      <c r="K297" s="13">
        <v>0</v>
      </c>
      <c r="L297" s="13">
        <v>0</v>
      </c>
      <c r="M297" s="12">
        <v>0</v>
      </c>
      <c r="N297" s="12">
        <v>0</v>
      </c>
      <c r="O297" s="12">
        <v>0</v>
      </c>
      <c r="P297" s="12">
        <v>0</v>
      </c>
      <c r="Q297" s="12">
        <v>16000</v>
      </c>
      <c r="R297" s="12">
        <v>0</v>
      </c>
      <c r="S297" s="12">
        <v>0</v>
      </c>
      <c r="T297" s="13">
        <v>0</v>
      </c>
      <c r="U297" s="12">
        <f t="shared" si="5"/>
        <v>84000</v>
      </c>
    </row>
    <row r="298" spans="1:21" ht="15.75" customHeight="1" x14ac:dyDescent="0.25">
      <c r="A298" s="26" t="s">
        <v>341</v>
      </c>
      <c r="B298" s="26" t="s">
        <v>635</v>
      </c>
      <c r="C298" s="27" t="s">
        <v>312</v>
      </c>
      <c r="D298" s="27" t="s">
        <v>331</v>
      </c>
      <c r="E298" s="27" t="s">
        <v>331</v>
      </c>
      <c r="F298" s="27" t="s">
        <v>331</v>
      </c>
      <c r="G298" s="3" t="s">
        <v>156</v>
      </c>
      <c r="H298" s="28">
        <v>100000</v>
      </c>
      <c r="I298" s="13">
        <v>0</v>
      </c>
      <c r="J298" s="13">
        <v>0</v>
      </c>
      <c r="K298" s="13">
        <v>0</v>
      </c>
      <c r="L298" s="13">
        <v>0</v>
      </c>
      <c r="M298" s="2">
        <v>8000</v>
      </c>
      <c r="N298" s="12">
        <v>0</v>
      </c>
      <c r="O298" s="12">
        <v>0</v>
      </c>
      <c r="P298" s="12">
        <v>20000</v>
      </c>
      <c r="Q298" s="12">
        <v>0</v>
      </c>
      <c r="R298" s="12">
        <v>72000</v>
      </c>
      <c r="S298" s="12">
        <v>0</v>
      </c>
      <c r="T298" s="13">
        <v>0</v>
      </c>
      <c r="U298" s="12">
        <f t="shared" si="5"/>
        <v>0</v>
      </c>
    </row>
    <row r="299" spans="1:21" ht="15.75" customHeight="1" x14ac:dyDescent="0.25">
      <c r="A299" s="26" t="s">
        <v>341</v>
      </c>
      <c r="B299" s="26" t="s">
        <v>636</v>
      </c>
      <c r="C299" s="27" t="s">
        <v>313</v>
      </c>
      <c r="D299" s="27" t="s">
        <v>330</v>
      </c>
      <c r="E299" s="27" t="s">
        <v>241</v>
      </c>
      <c r="F299" s="27" t="s">
        <v>330</v>
      </c>
      <c r="G299" s="3" t="s">
        <v>152</v>
      </c>
      <c r="H299" s="28">
        <v>100000</v>
      </c>
      <c r="I299" s="13">
        <v>0</v>
      </c>
      <c r="J299" s="13">
        <v>0</v>
      </c>
      <c r="K299" s="13">
        <v>0</v>
      </c>
      <c r="L299" s="13">
        <v>0</v>
      </c>
      <c r="M299" s="12">
        <v>0</v>
      </c>
      <c r="N299" s="12">
        <v>0</v>
      </c>
      <c r="O299" s="12">
        <v>0</v>
      </c>
      <c r="P299" s="12">
        <v>0</v>
      </c>
      <c r="Q299" s="12">
        <v>0</v>
      </c>
      <c r="R299" s="12">
        <v>0</v>
      </c>
      <c r="S299" s="12">
        <v>0</v>
      </c>
      <c r="T299" s="13">
        <v>0</v>
      </c>
      <c r="U299" s="12">
        <f t="shared" si="5"/>
        <v>100000</v>
      </c>
    </row>
    <row r="300" spans="1:21" ht="15.75" customHeight="1" x14ac:dyDescent="0.25">
      <c r="A300" s="26" t="s">
        <v>341</v>
      </c>
      <c r="B300" s="26" t="s">
        <v>637</v>
      </c>
      <c r="C300" s="27" t="s">
        <v>319</v>
      </c>
      <c r="D300" s="27" t="s">
        <v>331</v>
      </c>
      <c r="E300" s="27" t="s">
        <v>331</v>
      </c>
      <c r="F300" s="27" t="s">
        <v>330</v>
      </c>
      <c r="G300" s="3" t="s">
        <v>152</v>
      </c>
      <c r="H300" s="28">
        <v>100000</v>
      </c>
      <c r="I300" s="13">
        <v>0</v>
      </c>
      <c r="J300" s="13">
        <v>0</v>
      </c>
      <c r="K300" s="13">
        <v>0</v>
      </c>
      <c r="L300" s="13">
        <v>38000</v>
      </c>
      <c r="M300" s="12">
        <v>0</v>
      </c>
      <c r="N300" s="12">
        <v>0</v>
      </c>
      <c r="O300" s="12">
        <v>12000</v>
      </c>
      <c r="P300" s="12">
        <v>0</v>
      </c>
      <c r="Q300" s="12">
        <v>0</v>
      </c>
      <c r="R300" s="12">
        <v>50000</v>
      </c>
      <c r="S300" s="12">
        <v>0</v>
      </c>
      <c r="T300" s="13">
        <v>0</v>
      </c>
      <c r="U300" s="12">
        <f t="shared" si="5"/>
        <v>0</v>
      </c>
    </row>
    <row r="301" spans="1:21" ht="22.5" customHeight="1" x14ac:dyDescent="0.25">
      <c r="G301" s="30"/>
      <c r="H301" s="17">
        <f>SUM(H5:H300)</f>
        <v>26869500</v>
      </c>
      <c r="I301" s="17">
        <f t="shared" ref="I301:M301" si="6">SUM(I5:I300)</f>
        <v>688137</v>
      </c>
      <c r="J301" s="17">
        <f t="shared" si="6"/>
        <v>683897</v>
      </c>
      <c r="K301" s="17">
        <f t="shared" si="6"/>
        <v>1527268</v>
      </c>
      <c r="L301" s="17">
        <f t="shared" si="6"/>
        <v>1558702</v>
      </c>
      <c r="M301" s="17">
        <f t="shared" si="6"/>
        <v>1630562</v>
      </c>
      <c r="N301" s="16">
        <f t="shared" ref="N301:U301" si="7">SUM(N5:N300)</f>
        <v>1370724</v>
      </c>
      <c r="O301" s="16">
        <f t="shared" si="7"/>
        <v>1319812</v>
      </c>
      <c r="P301" s="16">
        <f t="shared" si="7"/>
        <v>4074807</v>
      </c>
      <c r="Q301" s="21">
        <f t="shared" si="7"/>
        <v>2271272</v>
      </c>
      <c r="R301" s="16">
        <f t="shared" si="7"/>
        <v>3473568</v>
      </c>
      <c r="S301" s="16">
        <f t="shared" si="7"/>
        <v>2640439</v>
      </c>
      <c r="T301" s="17">
        <f t="shared" si="7"/>
        <v>1283083</v>
      </c>
      <c r="U301" s="16">
        <f t="shared" si="7"/>
        <v>4347229</v>
      </c>
    </row>
  </sheetData>
  <autoFilter ref="A4:U301" xr:uid="{00000000-0009-0000-0000-000000000000}"/>
  <mergeCells count="1">
    <mergeCell ref="C1:T1"/>
  </mergeCells>
  <phoneticPr fontId="4" type="noConversion"/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කෘෂි ණය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Anamaduwa Agrarian</dc:creator>
  <cp:lastModifiedBy>dinesh abeysinghe</cp:lastModifiedBy>
  <dcterms:created xsi:type="dcterms:W3CDTF">2025-07-18T07:00:13Z</dcterms:created>
  <dcterms:modified xsi:type="dcterms:W3CDTF">2026-01-15T10:17:01Z</dcterms:modified>
</cp:coreProperties>
</file>